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oprak Tüm Raporlar\Şablonlar\_Hesaplamalar\"/>
    </mc:Choice>
  </mc:AlternateContent>
  <bookViews>
    <workbookView xWindow="0" yWindow="0" windowWidth="24240" windowHeight="12435" tabRatio="557" firstSheet="2" activeTab="2"/>
  </bookViews>
  <sheets>
    <sheet name="MGrafik" sheetId="5" state="hidden" r:id="rId1"/>
    <sheet name="KALIPLAR" sheetId="2" state="hidden" r:id="rId2"/>
    <sheet name="ANALITIK" sheetId="24" r:id="rId3"/>
    <sheet name="UNIMODAL" sheetId="26" r:id="rId4"/>
    <sheet name="BIMODAL" sheetId="27" r:id="rId5"/>
  </sheets>
  <definedNames>
    <definedName name="deneme" localSheetId="4">#REF!</definedName>
    <definedName name="deneme">#REF!</definedName>
    <definedName name="Ds" localSheetId="4">BIMODAL!$C$5:$D$15</definedName>
    <definedName name="Ds" localSheetId="3">UNIMODAL!$C$5:$D$15</definedName>
    <definedName name="Ds">ANALITIK!$C$5:$D$15</definedName>
    <definedName name="Dv" localSheetId="4">BIMODAL!$M$5:$N$57</definedName>
    <definedName name="Dv" localSheetId="3">UNIMODAL!$M$5:$N$57</definedName>
    <definedName name="Dv">ANALITIK!$K$5:$L$57</definedName>
    <definedName name="solver_adj" localSheetId="2" hidden="1">ANALITIK!#REF!</definedName>
    <definedName name="solver_adj" localSheetId="4" hidden="1">BIMODAL!$J$3:$J$10</definedName>
    <definedName name="solver_adj" localSheetId="3" hidden="1">UNIMODAL!$J$3:$J$6</definedName>
    <definedName name="solver_cvg" localSheetId="2" hidden="1">0.0001</definedName>
    <definedName name="solver_cvg" localSheetId="4" hidden="1">0.0001</definedName>
    <definedName name="solver_cvg" localSheetId="3" hidden="1">0.0001</definedName>
    <definedName name="solver_drv" localSheetId="2" hidden="1">1</definedName>
    <definedName name="solver_drv" localSheetId="4" hidden="1">1</definedName>
    <definedName name="solver_drv" localSheetId="3" hidden="1">1</definedName>
    <definedName name="solver_eng" localSheetId="2" hidden="1">1</definedName>
    <definedName name="solver_eng" localSheetId="4" hidden="1">1</definedName>
    <definedName name="solver_eng" localSheetId="3" hidden="1">1</definedName>
    <definedName name="solver_est" localSheetId="2" hidden="1">1</definedName>
    <definedName name="solver_est" localSheetId="4" hidden="1">1</definedName>
    <definedName name="solver_est" localSheetId="3" hidden="1">1</definedName>
    <definedName name="solver_itr" localSheetId="2" hidden="1">2147483647</definedName>
    <definedName name="solver_itr" localSheetId="4" hidden="1">2147483647</definedName>
    <definedName name="solver_itr" localSheetId="3" hidden="1">2147483647</definedName>
    <definedName name="solver_lhs1" localSheetId="4" hidden="1">BIMODAL!$J$3</definedName>
    <definedName name="solver_lhs1" localSheetId="3" hidden="1">UNIMODAL!$E$5</definedName>
    <definedName name="solver_lhs2" localSheetId="4" hidden="1">BIMODAL!$J$3</definedName>
    <definedName name="solver_lhs3" localSheetId="4" hidden="1">BIMODAL!$J$10</definedName>
    <definedName name="solver_lhs4" localSheetId="4" hidden="1">BIMODAL!$M$12</definedName>
    <definedName name="solver_mip" localSheetId="2" hidden="1">2147483647</definedName>
    <definedName name="solver_mip" localSheetId="4" hidden="1">2147483647</definedName>
    <definedName name="solver_mip" localSheetId="3" hidden="1">2147483647</definedName>
    <definedName name="solver_mni" localSheetId="2" hidden="1">30</definedName>
    <definedName name="solver_mni" localSheetId="4" hidden="1">30</definedName>
    <definedName name="solver_mni" localSheetId="3" hidden="1">30</definedName>
    <definedName name="solver_mrt" localSheetId="2" hidden="1">0.075</definedName>
    <definedName name="solver_mrt" localSheetId="4" hidden="1">0.075</definedName>
    <definedName name="solver_mrt" localSheetId="3" hidden="1">0.075</definedName>
    <definedName name="solver_msl" localSheetId="2" hidden="1">2</definedName>
    <definedName name="solver_msl" localSheetId="4" hidden="1">2</definedName>
    <definedName name="solver_msl" localSheetId="3" hidden="1">2</definedName>
    <definedName name="solver_neg" localSheetId="2" hidden="1">1</definedName>
    <definedName name="solver_neg" localSheetId="4" hidden="1">1</definedName>
    <definedName name="solver_neg" localSheetId="3" hidden="1">1</definedName>
    <definedName name="solver_nod" localSheetId="2" hidden="1">2147483647</definedName>
    <definedName name="solver_nod" localSheetId="4" hidden="1">2147483647</definedName>
    <definedName name="solver_nod" localSheetId="3" hidden="1">2147483647</definedName>
    <definedName name="solver_num" localSheetId="2" hidden="1">0</definedName>
    <definedName name="solver_num" localSheetId="4" hidden="1">3</definedName>
    <definedName name="solver_num" localSheetId="3" hidden="1">0</definedName>
    <definedName name="solver_nwt" localSheetId="2" hidden="1">1</definedName>
    <definedName name="solver_nwt" localSheetId="4" hidden="1">1</definedName>
    <definedName name="solver_nwt" localSheetId="3" hidden="1">1</definedName>
    <definedName name="solver_opt" localSheetId="2" hidden="1">ANALITIK!#REF!</definedName>
    <definedName name="solver_opt" localSheetId="4" hidden="1">BIMODAL!$F$3</definedName>
    <definedName name="solver_opt" localSheetId="3" hidden="1">UNIMODAL!$F$3</definedName>
    <definedName name="solver_pre" localSheetId="2" hidden="1">0.000001</definedName>
    <definedName name="solver_pre" localSheetId="4" hidden="1">0.000001</definedName>
    <definedName name="solver_pre" localSheetId="3" hidden="1">0.000001</definedName>
    <definedName name="solver_rbv" localSheetId="2" hidden="1">1</definedName>
    <definedName name="solver_rbv" localSheetId="4" hidden="1">2</definedName>
    <definedName name="solver_rbv" localSheetId="3" hidden="1">2</definedName>
    <definedName name="solver_rel1" localSheetId="4" hidden="1">1</definedName>
    <definedName name="solver_rel1" localSheetId="3" hidden="1">2</definedName>
    <definedName name="solver_rel2" localSheetId="4" hidden="1">3</definedName>
    <definedName name="solver_rel3" localSheetId="4" hidden="1">3</definedName>
    <definedName name="solver_rel4" localSheetId="4" hidden="1">1</definedName>
    <definedName name="solver_rhs1" localSheetId="4" hidden="1">1</definedName>
    <definedName name="solver_rhs1" localSheetId="3" hidden="1">100</definedName>
    <definedName name="solver_rhs2" localSheetId="4" hidden="1">0</definedName>
    <definedName name="solver_rhs3" localSheetId="4" hidden="1">1</definedName>
    <definedName name="solver_rhs4" localSheetId="4" hidden="1">50</definedName>
    <definedName name="solver_rlx" localSheetId="2" hidden="1">2</definedName>
    <definedName name="solver_rlx" localSheetId="4" hidden="1">2</definedName>
    <definedName name="solver_rlx" localSheetId="3" hidden="1">2</definedName>
    <definedName name="solver_rsd" localSheetId="2" hidden="1">0</definedName>
    <definedName name="solver_rsd" localSheetId="4" hidden="1">0</definedName>
    <definedName name="solver_rsd" localSheetId="3" hidden="1">0</definedName>
    <definedName name="solver_scl" localSheetId="2" hidden="1">1</definedName>
    <definedName name="solver_scl" localSheetId="4" hidden="1">2</definedName>
    <definedName name="solver_scl" localSheetId="3" hidden="1">2</definedName>
    <definedName name="solver_sho" localSheetId="2" hidden="1">2</definedName>
    <definedName name="solver_sho" localSheetId="4" hidden="1">2</definedName>
    <definedName name="solver_sho" localSheetId="3" hidden="1">2</definedName>
    <definedName name="solver_ssz" localSheetId="2" hidden="1">100</definedName>
    <definedName name="solver_ssz" localSheetId="4" hidden="1">0</definedName>
    <definedName name="solver_ssz" localSheetId="3" hidden="1">0</definedName>
    <definedName name="solver_tim" localSheetId="2" hidden="1">2147483647</definedName>
    <definedName name="solver_tim" localSheetId="4" hidden="1">2147483647</definedName>
    <definedName name="solver_tim" localSheetId="3" hidden="1">2147483647</definedName>
    <definedName name="solver_tol" localSheetId="2" hidden="1">0.01</definedName>
    <definedName name="solver_tol" localSheetId="4" hidden="1">0.01</definedName>
    <definedName name="solver_tol" localSheetId="3" hidden="1">0.01</definedName>
    <definedName name="solver_typ" localSheetId="2" hidden="1">2</definedName>
    <definedName name="solver_typ" localSheetId="4" hidden="1">2</definedName>
    <definedName name="solver_typ" localSheetId="3" hidden="1">2</definedName>
    <definedName name="solver_val" localSheetId="2" hidden="1">0</definedName>
    <definedName name="solver_val" localSheetId="4" hidden="1">0</definedName>
    <definedName name="solver_val" localSheetId="3" hidden="1">0</definedName>
    <definedName name="solver_ver" localSheetId="2" hidden="1">3</definedName>
    <definedName name="solver_ver" localSheetId="4" hidden="1">3</definedName>
    <definedName name="solver_ver" localSheetId="3" hidden="1">3</definedName>
    <definedName name="_xlnm.Print_Area" localSheetId="4">BIMODAL!$A$1:$AC$57</definedName>
    <definedName name="_xlnm.Print_Area" localSheetId="1">KALIPLAR!$A$1:$O$35</definedName>
  </definedNames>
  <calcPr calcId="152511"/>
</workbook>
</file>

<file path=xl/calcChain.xml><?xml version="1.0" encoding="utf-8"?>
<calcChain xmlns="http://schemas.openxmlformats.org/spreadsheetml/2006/main">
  <c r="E15" i="27" l="1"/>
  <c r="B15" i="27" l="1"/>
  <c r="B14" i="27"/>
  <c r="B13" i="27"/>
  <c r="B12" i="27"/>
  <c r="B11" i="27"/>
  <c r="B10" i="27"/>
  <c r="B9" i="27"/>
  <c r="B8" i="27"/>
  <c r="B7" i="27"/>
  <c r="B6" i="27"/>
  <c r="B5" i="27"/>
  <c r="B6" i="26"/>
  <c r="B7" i="26"/>
  <c r="B8" i="26"/>
  <c r="B9" i="26"/>
  <c r="B10" i="26"/>
  <c r="B11" i="26"/>
  <c r="B12" i="26"/>
  <c r="B13" i="26"/>
  <c r="B14" i="26"/>
  <c r="B15" i="26"/>
  <c r="B5" i="26"/>
  <c r="F6" i="24"/>
  <c r="F7" i="24"/>
  <c r="F8" i="24"/>
  <c r="F9" i="24"/>
  <c r="F10" i="24"/>
  <c r="F11" i="24"/>
  <c r="F12" i="24"/>
  <c r="F13" i="24"/>
  <c r="F14" i="24"/>
  <c r="F15" i="24"/>
  <c r="F16" i="24"/>
  <c r="F5" i="24"/>
  <c r="B6" i="24"/>
  <c r="B7" i="24"/>
  <c r="B8" i="24"/>
  <c r="B9" i="24"/>
  <c r="B10" i="24"/>
  <c r="B11" i="24"/>
  <c r="B12" i="24"/>
  <c r="B13" i="24"/>
  <c r="B14" i="24"/>
  <c r="B5" i="24"/>
  <c r="E14" i="27" l="1"/>
  <c r="E13" i="27"/>
  <c r="E12" i="27"/>
  <c r="E11" i="27"/>
  <c r="E10" i="27"/>
  <c r="E9" i="27"/>
  <c r="E8" i="27"/>
  <c r="E7" i="27"/>
  <c r="E6" i="27"/>
  <c r="E15" i="26"/>
  <c r="E7" i="26" l="1"/>
  <c r="E6" i="26" l="1"/>
  <c r="E5" i="26"/>
  <c r="E11" i="26"/>
  <c r="E10" i="26"/>
  <c r="E9" i="26"/>
  <c r="E8" i="26"/>
  <c r="O5" i="26" l="1"/>
  <c r="P5" i="26" s="1"/>
  <c r="O6" i="26"/>
  <c r="P6" i="26" s="1"/>
  <c r="O7" i="26"/>
  <c r="P7" i="26" s="1"/>
  <c r="O8" i="26"/>
  <c r="P8" i="26" s="1"/>
  <c r="O9" i="26"/>
  <c r="P9" i="26" s="1"/>
  <c r="O10" i="26"/>
  <c r="P10" i="26" s="1"/>
  <c r="O11" i="26"/>
  <c r="P11" i="26" s="1"/>
  <c r="O12" i="26"/>
  <c r="P12" i="26" s="1"/>
  <c r="O13" i="26"/>
  <c r="P13" i="26" s="1"/>
  <c r="E5" i="27" l="1"/>
  <c r="E14" i="26" l="1"/>
  <c r="E13" i="26"/>
  <c r="E12" i="26"/>
  <c r="N57" i="27"/>
  <c r="N56" i="27"/>
  <c r="N55" i="27"/>
  <c r="N54" i="27"/>
  <c r="N53" i="27"/>
  <c r="N52" i="27"/>
  <c r="N51" i="27"/>
  <c r="N50" i="27"/>
  <c r="N49" i="27"/>
  <c r="N48" i="27"/>
  <c r="N47" i="27"/>
  <c r="N46" i="27"/>
  <c r="N45" i="27"/>
  <c r="N44" i="27"/>
  <c r="N43" i="27"/>
  <c r="N42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O57" i="26"/>
  <c r="P57" i="26" s="1"/>
  <c r="O56" i="26"/>
  <c r="P56" i="26" s="1"/>
  <c r="O55" i="26"/>
  <c r="P55" i="26" s="1"/>
  <c r="O54" i="26"/>
  <c r="P54" i="26" s="1"/>
  <c r="O53" i="26"/>
  <c r="P53" i="26" s="1"/>
  <c r="O52" i="26"/>
  <c r="P52" i="26" s="1"/>
  <c r="O51" i="26"/>
  <c r="P51" i="26" s="1"/>
  <c r="O50" i="26"/>
  <c r="P50" i="26" s="1"/>
  <c r="O49" i="26"/>
  <c r="P49" i="26" s="1"/>
  <c r="O48" i="26"/>
  <c r="P48" i="26" s="1"/>
  <c r="O47" i="26"/>
  <c r="P47" i="26" s="1"/>
  <c r="O46" i="26"/>
  <c r="P46" i="26" s="1"/>
  <c r="O45" i="26"/>
  <c r="P45" i="26" s="1"/>
  <c r="O44" i="26"/>
  <c r="P44" i="26" s="1"/>
  <c r="O43" i="26"/>
  <c r="P43" i="26" s="1"/>
  <c r="O42" i="26"/>
  <c r="P42" i="26" s="1"/>
  <c r="O41" i="26"/>
  <c r="P41" i="26" s="1"/>
  <c r="O40" i="26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1" i="26"/>
  <c r="P21" i="26" s="1"/>
  <c r="O20" i="26"/>
  <c r="P20" i="26" s="1"/>
  <c r="O19" i="26"/>
  <c r="P19" i="26" s="1"/>
  <c r="O18" i="26"/>
  <c r="P18" i="26" s="1"/>
  <c r="O17" i="26"/>
  <c r="P17" i="26" s="1"/>
  <c r="O16" i="26"/>
  <c r="P16" i="26" s="1"/>
  <c r="O15" i="26"/>
  <c r="P15" i="26" s="1"/>
  <c r="O14" i="26"/>
  <c r="P14" i="26" s="1"/>
  <c r="N57" i="26" l="1"/>
  <c r="N56" i="26"/>
  <c r="N55" i="26"/>
  <c r="N54" i="26"/>
  <c r="N53" i="26"/>
  <c r="N52" i="26"/>
  <c r="N51" i="26"/>
  <c r="N50" i="26"/>
  <c r="N49" i="26"/>
  <c r="N48" i="26"/>
  <c r="N47" i="26"/>
  <c r="N46" i="26"/>
  <c r="N45" i="26"/>
  <c r="N44" i="26"/>
  <c r="N43" i="26"/>
  <c r="N42" i="26"/>
  <c r="N41" i="26"/>
  <c r="N40" i="26"/>
  <c r="N39" i="26"/>
  <c r="N38" i="26"/>
  <c r="N37" i="26"/>
  <c r="N36" i="26"/>
  <c r="N35" i="26"/>
  <c r="N34" i="26"/>
  <c r="N33" i="26"/>
  <c r="N32" i="26"/>
  <c r="N31" i="26"/>
  <c r="N30" i="26"/>
  <c r="N29" i="26"/>
  <c r="N28" i="26"/>
  <c r="N27" i="26"/>
  <c r="N26" i="26"/>
  <c r="N25" i="26"/>
  <c r="M24" i="26"/>
  <c r="O24" i="26" s="1"/>
  <c r="P24" i="26" s="1"/>
  <c r="N23" i="26"/>
  <c r="O22" i="26"/>
  <c r="P22" i="26" s="1"/>
  <c r="P3" i="26" s="1"/>
  <c r="N21" i="26"/>
  <c r="N20" i="26"/>
  <c r="N19" i="26"/>
  <c r="N18" i="26"/>
  <c r="N17" i="26"/>
  <c r="N16" i="26"/>
  <c r="N15" i="26"/>
  <c r="N14" i="26"/>
  <c r="N13" i="26"/>
  <c r="N12" i="26"/>
  <c r="N11" i="26"/>
  <c r="N10" i="26"/>
  <c r="N9" i="26"/>
  <c r="N8" i="26"/>
  <c r="N7" i="26"/>
  <c r="N6" i="26"/>
  <c r="N5" i="26"/>
  <c r="N22" i="26" l="1"/>
  <c r="N24" i="26"/>
  <c r="L12" i="24"/>
  <c r="L9" i="24"/>
  <c r="L57" i="24"/>
  <c r="L56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3" i="24"/>
  <c r="L42" i="24"/>
  <c r="L41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7" i="24"/>
  <c r="L26" i="24"/>
  <c r="L25" i="24"/>
  <c r="L23" i="24"/>
  <c r="L21" i="24"/>
  <c r="L20" i="24"/>
  <c r="L19" i="24"/>
  <c r="L18" i="24"/>
  <c r="L17" i="24"/>
  <c r="L16" i="24"/>
  <c r="L15" i="24"/>
  <c r="L14" i="24"/>
  <c r="L13" i="24"/>
  <c r="L11" i="24"/>
  <c r="L10" i="24"/>
  <c r="L8" i="24"/>
  <c r="L7" i="24"/>
  <c r="L6" i="24"/>
  <c r="L5" i="24"/>
  <c r="L24" i="24"/>
  <c r="H5" i="24" l="1"/>
  <c r="H6" i="24"/>
  <c r="H14" i="24"/>
  <c r="H10" i="24"/>
  <c r="H13" i="24"/>
  <c r="H9" i="24"/>
  <c r="H16" i="24"/>
  <c r="H8" i="24"/>
  <c r="H15" i="24"/>
  <c r="H7" i="24"/>
  <c r="L22" i="24"/>
  <c r="H19" i="24" s="1"/>
  <c r="H12" i="24" l="1"/>
  <c r="H11" i="24"/>
  <c r="H20" i="24"/>
  <c r="H18" i="24"/>
  <c r="H22" i="24"/>
  <c r="H21" i="24"/>
  <c r="F10" i="26"/>
  <c r="F7" i="26"/>
  <c r="F8" i="26"/>
  <c r="F6" i="26"/>
  <c r="F14" i="26"/>
  <c r="F13" i="26"/>
  <c r="F9" i="26"/>
  <c r="F5" i="26"/>
  <c r="F15" i="26"/>
  <c r="F12" i="26"/>
  <c r="F11" i="26"/>
  <c r="H23" i="24" l="1"/>
  <c r="H24" i="24"/>
  <c r="F3" i="26"/>
  <c r="J10" i="26"/>
  <c r="J11" i="26"/>
  <c r="J13" i="26"/>
  <c r="J9" i="26"/>
  <c r="J12" i="26"/>
  <c r="J14" i="26" l="1"/>
  <c r="J15" i="26"/>
  <c r="O57" i="27"/>
  <c r="P57" i="27" s="1"/>
  <c r="O42" i="27"/>
  <c r="P42" i="27" s="1"/>
  <c r="O47" i="27"/>
  <c r="P47" i="27" s="1"/>
  <c r="O7" i="27"/>
  <c r="P7" i="27" s="1"/>
  <c r="O15" i="27"/>
  <c r="P15" i="27" s="1"/>
  <c r="O29" i="27"/>
  <c r="P29" i="27" s="1"/>
  <c r="O32" i="27"/>
  <c r="P32" i="27" s="1"/>
  <c r="O16" i="27"/>
  <c r="P16" i="27" s="1"/>
  <c r="O51" i="27"/>
  <c r="P51" i="27" s="1"/>
  <c r="O27" i="27"/>
  <c r="P27" i="27" s="1"/>
  <c r="O33" i="27"/>
  <c r="P33" i="27" s="1"/>
  <c r="O37" i="27"/>
  <c r="P37" i="27" s="1"/>
  <c r="O34" i="27"/>
  <c r="P34" i="27" s="1"/>
  <c r="O9" i="27"/>
  <c r="P9" i="27" s="1"/>
  <c r="O6" i="27"/>
  <c r="P6" i="27" s="1"/>
  <c r="O52" i="27"/>
  <c r="P52" i="27" s="1"/>
  <c r="O19" i="27"/>
  <c r="P19" i="27" s="1"/>
  <c r="O10" i="27"/>
  <c r="P10" i="27" s="1"/>
  <c r="O26" i="27"/>
  <c r="P26" i="27" s="1"/>
  <c r="O13" i="27"/>
  <c r="P13" i="27" s="1"/>
  <c r="O45" i="27"/>
  <c r="P45" i="27" s="1"/>
  <c r="O39" i="27"/>
  <c r="P39" i="27" s="1"/>
  <c r="O48" i="27"/>
  <c r="P48" i="27" s="1"/>
  <c r="O46" i="27"/>
  <c r="P46" i="27" s="1"/>
  <c r="O35" i="27"/>
  <c r="P35" i="27" s="1"/>
  <c r="O30" i="27"/>
  <c r="P30" i="27" s="1"/>
  <c r="O24" i="27"/>
  <c r="P24" i="27" s="1"/>
  <c r="O17" i="27"/>
  <c r="P17" i="27" s="1"/>
  <c r="O25" i="27"/>
  <c r="P25" i="27" s="1"/>
  <c r="O50" i="27"/>
  <c r="P50" i="27" s="1"/>
  <c r="O18" i="27"/>
  <c r="P18" i="27" s="1"/>
  <c r="O36" i="27"/>
  <c r="P36" i="27" s="1"/>
  <c r="O14" i="27"/>
  <c r="P14" i="27" s="1"/>
  <c r="O56" i="27"/>
  <c r="P56" i="27" s="1"/>
  <c r="O44" i="27"/>
  <c r="P44" i="27" s="1"/>
  <c r="O11" i="27"/>
  <c r="P11" i="27" s="1"/>
  <c r="O21" i="27"/>
  <c r="P21" i="27" s="1"/>
  <c r="O54" i="27"/>
  <c r="P54" i="27" s="1"/>
  <c r="O28" i="27"/>
  <c r="P28" i="27" s="1"/>
  <c r="O53" i="27"/>
  <c r="P53" i="27" s="1"/>
  <c r="O20" i="27"/>
  <c r="P20" i="27" s="1"/>
  <c r="O12" i="27"/>
  <c r="P12" i="27" s="1"/>
  <c r="O55" i="27"/>
  <c r="P55" i="27" s="1"/>
  <c r="O41" i="27"/>
  <c r="P41" i="27" s="1"/>
  <c r="O43" i="27"/>
  <c r="P43" i="27" s="1"/>
  <c r="O31" i="27"/>
  <c r="P31" i="27" s="1"/>
  <c r="O8" i="27"/>
  <c r="P8" i="27" s="1"/>
  <c r="O40" i="27"/>
  <c r="P40" i="27" s="1"/>
  <c r="O38" i="27"/>
  <c r="P38" i="27" s="1"/>
  <c r="O23" i="27"/>
  <c r="P23" i="27" s="1"/>
  <c r="O22" i="27"/>
  <c r="P22" i="27" s="1"/>
  <c r="O49" i="27"/>
  <c r="P49" i="27" s="1"/>
  <c r="F12" i="27"/>
  <c r="F9" i="27"/>
  <c r="F14" i="27"/>
  <c r="F7" i="27"/>
  <c r="F15" i="27"/>
  <c r="F6" i="27"/>
  <c r="F8" i="27"/>
  <c r="F13" i="27"/>
  <c r="F5" i="27"/>
  <c r="O5" i="27"/>
  <c r="P5" i="27" s="1"/>
  <c r="F11" i="27"/>
  <c r="F10" i="27"/>
  <c r="J13" i="27" l="1"/>
  <c r="J14" i="27"/>
  <c r="P3" i="27"/>
  <c r="F3" i="27"/>
  <c r="J15" i="27"/>
  <c r="J17" i="27"/>
  <c r="J16" i="27"/>
  <c r="J19" i="27" l="1"/>
  <c r="J18" i="27"/>
</calcChain>
</file>

<file path=xl/sharedStrings.xml><?xml version="1.0" encoding="utf-8"?>
<sst xmlns="http://schemas.openxmlformats.org/spreadsheetml/2006/main" count="254" uniqueCount="126">
  <si>
    <t>mm</t>
  </si>
  <si>
    <t>No.4</t>
  </si>
  <si>
    <t>No.10</t>
  </si>
  <si>
    <t>No.40</t>
  </si>
  <si>
    <t>No.200</t>
  </si>
  <si>
    <t>KÜÇÜK KAPLAR</t>
  </si>
  <si>
    <t>DARA</t>
  </si>
  <si>
    <t>HACİM</t>
  </si>
  <si>
    <t>YENİ YIKAMA KABI</t>
  </si>
  <si>
    <t>ESKİ YIKAMA KABI</t>
  </si>
  <si>
    <t>NO</t>
  </si>
  <si>
    <t xml:space="preserve"> </t>
  </si>
  <si>
    <t>ESKİ CBR KALIBLARI</t>
  </si>
  <si>
    <t>YENİ CBR KALIBLARI</t>
  </si>
  <si>
    <t>YUVARLAK YENİ CBR KALIBLARI</t>
  </si>
  <si>
    <t>STANDART PROKTOR KALIBLARI</t>
  </si>
  <si>
    <t>MODİFİYE PROKTOR KALIBLARI</t>
  </si>
  <si>
    <t>TİTREŞİM KOMPAKSİYON KALIBLARI</t>
  </si>
  <si>
    <t>Elek Açıklığı</t>
  </si>
  <si>
    <t>inç</t>
  </si>
  <si>
    <t>Elek Analizi % Geçen</t>
  </si>
  <si>
    <t>No.8</t>
  </si>
  <si>
    <t>No.16</t>
  </si>
  <si>
    <t>No.20</t>
  </si>
  <si>
    <t>No.50</t>
  </si>
  <si>
    <t>No.60</t>
  </si>
  <si>
    <t>No.80</t>
  </si>
  <si>
    <t>No.100</t>
  </si>
  <si>
    <t>No.270</t>
  </si>
  <si>
    <t>Deney Sonuçları</t>
  </si>
  <si>
    <t>Y</t>
  </si>
  <si>
    <t>X</t>
  </si>
  <si>
    <t>Y2</t>
  </si>
  <si>
    <t>Hesaplanacak yüzde</t>
  </si>
  <si>
    <t>Y'ye karşılık gelen elek</t>
  </si>
  <si>
    <t>Hesaplanacak değer aralığının bilinen ilk ve son elek açıklığı değerleri</t>
  </si>
  <si>
    <t>Hesaplanacak değer aralığının bilinen ilk ve son elekten geçen yüzde değerleri</t>
  </si>
  <si>
    <t>X1
X2</t>
  </si>
  <si>
    <t>Y1
Y2</t>
  </si>
  <si>
    <t>No.5</t>
  </si>
  <si>
    <t>No.6</t>
  </si>
  <si>
    <t>No.7</t>
  </si>
  <si>
    <t>No.12</t>
  </si>
  <si>
    <t>No.14</t>
  </si>
  <si>
    <t>No.18</t>
  </si>
  <si>
    <t>No.3,5</t>
  </si>
  <si>
    <t>No.25</t>
  </si>
  <si>
    <t>No.30</t>
  </si>
  <si>
    <t>No.35</t>
  </si>
  <si>
    <t>No.45</t>
  </si>
  <si>
    <t>No.70</t>
  </si>
  <si>
    <t>No.120</t>
  </si>
  <si>
    <t>No.140</t>
  </si>
  <si>
    <t>No.170</t>
  </si>
  <si>
    <t>No.230</t>
  </si>
  <si>
    <t>No.325</t>
  </si>
  <si>
    <t>No.400</t>
  </si>
  <si>
    <t>No.450</t>
  </si>
  <si>
    <t>No.500</t>
  </si>
  <si>
    <t>No.635</t>
  </si>
  <si>
    <t>Hesaplanan %</t>
  </si>
  <si>
    <t>D</t>
  </si>
  <si>
    <t>Cu</t>
  </si>
  <si>
    <t>Cc</t>
  </si>
  <si>
    <t>İstenen Elekler</t>
  </si>
  <si>
    <t>Hesaplanan</t>
  </si>
  <si>
    <t>UNIMODAL DENKLEM İLE GRADASYON DAĞILIMI</t>
  </si>
  <si>
    <t>Parametreler</t>
  </si>
  <si>
    <r>
      <t>Std.P R</t>
    </r>
    <r>
      <rPr>
        <b/>
        <vertAlign val="superscript"/>
        <sz val="9"/>
        <rFont val="Arial"/>
        <family val="2"/>
        <charset val="162"/>
      </rPr>
      <t>2</t>
    </r>
  </si>
  <si>
    <t>% Geçen (Analitik)</t>
  </si>
  <si>
    <t>% Geçen</t>
  </si>
  <si>
    <t>: hesaplanan yüzde geçen (%)</t>
  </si>
  <si>
    <r>
      <t>a</t>
    </r>
    <r>
      <rPr>
        <b/>
        <vertAlign val="subscript"/>
        <sz val="11"/>
        <color theme="1"/>
        <rFont val="Arial"/>
        <family val="2"/>
        <charset val="162"/>
      </rPr>
      <t>gr</t>
    </r>
  </si>
  <si>
    <r>
      <t>m</t>
    </r>
    <r>
      <rPr>
        <b/>
        <vertAlign val="subscript"/>
        <sz val="11"/>
        <color theme="1"/>
        <rFont val="Arial"/>
        <family val="2"/>
        <charset val="162"/>
      </rPr>
      <t>gr</t>
    </r>
  </si>
  <si>
    <r>
      <t>d</t>
    </r>
    <r>
      <rPr>
        <b/>
        <vertAlign val="subscript"/>
        <sz val="11"/>
        <color theme="1"/>
        <rFont val="Arial"/>
        <family val="2"/>
        <charset val="162"/>
      </rPr>
      <t>rgr</t>
    </r>
  </si>
  <si>
    <r>
      <t>d</t>
    </r>
    <r>
      <rPr>
        <b/>
        <vertAlign val="subscript"/>
        <sz val="11"/>
        <color theme="1"/>
        <rFont val="Arial"/>
        <family val="2"/>
        <charset val="162"/>
      </rPr>
      <t>m</t>
    </r>
  </si>
  <si>
    <r>
      <t>a</t>
    </r>
    <r>
      <rPr>
        <b/>
        <vertAlign val="subscript"/>
        <sz val="14"/>
        <color theme="1"/>
        <rFont val="Calibri"/>
        <family val="2"/>
        <charset val="162"/>
        <scheme val="minor"/>
      </rPr>
      <t>gr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</si>
  <si>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n</t>
    </r>
    <r>
      <rPr>
        <b/>
        <vertAlign val="subscript"/>
        <sz val="14"/>
        <color theme="1"/>
        <rFont val="Calibri"/>
        <family val="2"/>
        <charset val="162"/>
        <scheme val="minor"/>
      </rPr>
      <t>gr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</si>
  <si>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m</t>
    </r>
    <r>
      <rPr>
        <b/>
        <vertAlign val="subscript"/>
        <sz val="14"/>
        <color theme="1"/>
        <rFont val="Calibri"/>
        <family val="2"/>
        <charset val="162"/>
        <scheme val="minor"/>
      </rPr>
      <t>gr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</si>
  <si>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d</t>
    </r>
    <r>
      <rPr>
        <b/>
        <vertAlign val="subscript"/>
        <sz val="14"/>
        <color theme="1"/>
        <rFont val="Calibri"/>
        <family val="2"/>
        <charset val="162"/>
        <scheme val="minor"/>
      </rPr>
      <t>rgr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</si>
  <si>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d</t>
    </r>
    <r>
      <rPr>
        <b/>
        <vertAlign val="subscript"/>
        <sz val="14"/>
        <color theme="1"/>
        <rFont val="Calibri"/>
        <family val="2"/>
        <charset val="162"/>
        <scheme val="minor"/>
      </rPr>
      <t>m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</si>
  <si>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P</t>
    </r>
    <r>
      <rPr>
        <b/>
        <vertAlign val="subscript"/>
        <sz val="11"/>
        <color theme="1"/>
        <rFont val="Calibri"/>
        <family val="2"/>
        <charset val="162"/>
        <scheme val="minor"/>
      </rPr>
      <t>p</t>
    </r>
    <r>
      <rPr>
        <b/>
        <sz val="11"/>
        <color theme="1"/>
        <rFont val="Calibri"/>
        <family val="2"/>
        <charset val="162"/>
        <scheme val="minor"/>
      </rPr>
      <t>(d):</t>
    </r>
  </si>
  <si>
    <t>hesap ile bulunan elekten yüzde geçen (%)</t>
  </si>
  <si>
    <t>% GEÇEN UNIMODAL</t>
  </si>
  <si>
    <r>
      <t>a</t>
    </r>
    <r>
      <rPr>
        <b/>
        <vertAlign val="subscript"/>
        <sz val="11"/>
        <color theme="1"/>
        <rFont val="Arial"/>
        <family val="2"/>
        <charset val="162"/>
      </rPr>
      <t>bi</t>
    </r>
  </si>
  <si>
    <r>
      <t>n</t>
    </r>
    <r>
      <rPr>
        <b/>
        <vertAlign val="subscript"/>
        <sz val="11"/>
        <rFont val="Arial"/>
        <family val="2"/>
        <charset val="162"/>
      </rPr>
      <t>gr</t>
    </r>
  </si>
  <si>
    <r>
      <t>n</t>
    </r>
    <r>
      <rPr>
        <b/>
        <vertAlign val="subscript"/>
        <sz val="11"/>
        <rFont val="Arial"/>
        <family val="2"/>
        <charset val="162"/>
      </rPr>
      <t>bi</t>
    </r>
  </si>
  <si>
    <r>
      <t>m</t>
    </r>
    <r>
      <rPr>
        <b/>
        <vertAlign val="subscript"/>
        <sz val="11"/>
        <color theme="1"/>
        <rFont val="Arial"/>
        <family val="2"/>
        <charset val="162"/>
      </rPr>
      <t>bi</t>
    </r>
  </si>
  <si>
    <r>
      <t>d</t>
    </r>
    <r>
      <rPr>
        <b/>
        <vertAlign val="subscript"/>
        <sz val="11"/>
        <color theme="1"/>
        <rFont val="Arial"/>
        <family val="2"/>
        <charset val="162"/>
      </rPr>
      <t>rbi</t>
    </r>
  </si>
  <si>
    <r>
      <t>j</t>
    </r>
    <r>
      <rPr>
        <b/>
        <vertAlign val="subscript"/>
        <sz val="11"/>
        <color theme="1"/>
        <rFont val="Arial"/>
        <family val="2"/>
        <charset val="162"/>
      </rPr>
      <t>bi</t>
    </r>
  </si>
  <si>
    <r>
      <t>k</t>
    </r>
    <r>
      <rPr>
        <b/>
        <vertAlign val="subscript"/>
        <sz val="11"/>
        <rFont val="Arial"/>
        <family val="2"/>
        <charset val="162"/>
      </rPr>
      <t>bi</t>
    </r>
  </si>
  <si>
    <r>
      <t>l</t>
    </r>
    <r>
      <rPr>
        <b/>
        <vertAlign val="subscript"/>
        <sz val="11"/>
        <color theme="1"/>
        <rFont val="Arial"/>
        <family val="2"/>
        <charset val="162"/>
      </rPr>
      <t>bi</t>
    </r>
  </si>
  <si>
    <r>
      <t>w</t>
    </r>
    <r>
      <rPr>
        <b/>
        <vertAlign val="subscript"/>
        <sz val="11"/>
        <color theme="1"/>
        <rFont val="Arial"/>
        <family val="2"/>
        <charset val="162"/>
      </rPr>
      <t>i</t>
    </r>
  </si>
  <si>
    <r>
      <t xml:space="preserve">Hata </t>
    </r>
    <r>
      <rPr>
        <b/>
        <sz val="9"/>
        <rFont val="Arial Tur"/>
        <charset val="162"/>
      </rPr>
      <t>Σ</t>
    </r>
    <r>
      <rPr>
        <b/>
        <sz val="9"/>
        <rFont val="Arial"/>
        <family val="2"/>
        <charset val="162"/>
      </rPr>
      <t>R</t>
    </r>
    <r>
      <rPr>
        <b/>
        <vertAlign val="superscript"/>
        <sz val="9"/>
        <rFont val="Arial"/>
        <family val="2"/>
        <charset val="162"/>
      </rPr>
      <t>2</t>
    </r>
  </si>
  <si>
    <t>% GEÇEN (BIMODAL)</t>
  </si>
  <si>
    <t>BIMODAL DENKLEM İLE GRADASYON DAĞILIMI</t>
  </si>
  <si>
    <r>
      <t>a</t>
    </r>
    <r>
      <rPr>
        <b/>
        <vertAlign val="subscript"/>
        <sz val="14"/>
        <color theme="1"/>
        <rFont val="Calibri"/>
        <family val="2"/>
        <charset val="162"/>
        <scheme val="minor"/>
      </rPr>
      <t>bi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</si>
  <si>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n</t>
    </r>
    <r>
      <rPr>
        <b/>
        <vertAlign val="subscript"/>
        <sz val="14"/>
        <color theme="1"/>
        <rFont val="Calibri"/>
        <family val="2"/>
        <charset val="162"/>
        <scheme val="minor"/>
      </rPr>
      <t>bi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</si>
  <si>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m</t>
    </r>
    <r>
      <rPr>
        <b/>
        <vertAlign val="subscript"/>
        <sz val="14"/>
        <color theme="1"/>
        <rFont val="Calibri"/>
        <family val="2"/>
        <charset val="162"/>
        <scheme val="minor"/>
      </rPr>
      <t>bi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</si>
  <si>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d</t>
    </r>
    <r>
      <rPr>
        <b/>
        <vertAlign val="subscript"/>
        <sz val="14"/>
        <color theme="1"/>
        <rFont val="Calibri"/>
        <family val="2"/>
        <charset val="162"/>
        <scheme val="minor"/>
      </rPr>
      <t>rbi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</si>
  <si>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w</t>
    </r>
    <r>
      <rPr>
        <b/>
        <sz val="11"/>
        <color theme="1"/>
        <rFont val="Calibri"/>
        <family val="2"/>
        <charset val="162"/>
        <scheme val="minor"/>
      </rPr>
      <t>:</t>
    </r>
  </si>
  <si>
    <r>
      <t>j</t>
    </r>
    <r>
      <rPr>
        <b/>
        <vertAlign val="subscript"/>
        <sz val="14"/>
        <color theme="1"/>
        <rFont val="Calibri"/>
        <family val="2"/>
        <charset val="162"/>
        <scheme val="minor"/>
      </rPr>
      <t>bi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</si>
  <si>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k</t>
    </r>
    <r>
      <rPr>
        <b/>
        <vertAlign val="subscript"/>
        <sz val="14"/>
        <color theme="1"/>
        <rFont val="Calibri"/>
        <family val="2"/>
        <charset val="162"/>
        <scheme val="minor"/>
      </rPr>
      <t>bi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</si>
  <si>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t>l</t>
    </r>
    <r>
      <rPr>
        <b/>
        <vertAlign val="subscript"/>
        <sz val="14"/>
        <color theme="1"/>
        <rFont val="Calibri"/>
        <family val="2"/>
        <charset val="162"/>
        <scheme val="minor"/>
      </rPr>
      <t>bi</t>
    </r>
    <r>
      <rPr>
        <b/>
        <sz val="14"/>
        <color theme="1"/>
        <rFont val="Calibri"/>
        <family val="2"/>
        <charset val="162"/>
        <scheme val="minor"/>
      </rPr>
      <t>:</t>
    </r>
  </si>
  <si>
    <r>
      <rPr>
        <b/>
        <sz val="9"/>
        <color theme="1"/>
        <rFont val="Calibri"/>
        <family val="2"/>
        <charset val="162"/>
        <scheme val="minor"/>
      </rPr>
      <t>Unimodal Denklem ile Gradasyon Dağılımının Sayısallaştırılması</t>
    </r>
    <r>
      <rPr>
        <sz val="9"/>
        <color theme="1"/>
        <rFont val="Calibri"/>
        <family val="2"/>
        <charset val="162"/>
        <scheme val="minor"/>
      </rPr>
      <t xml:space="preserve">
</t>
    </r>
    <r>
      <rPr>
        <b/>
        <sz val="9"/>
        <color theme="1"/>
        <rFont val="Calibri"/>
        <family val="2"/>
        <charset val="162"/>
        <scheme val="minor"/>
      </rPr>
      <t>Kaynakça:</t>
    </r>
    <r>
      <rPr>
        <sz val="9"/>
        <color theme="1"/>
        <rFont val="Calibri"/>
        <family val="2"/>
        <charset val="162"/>
        <scheme val="minor"/>
      </rPr>
      <t xml:space="preserve"> "An equation to represent grain-size distribution", Murray D. Fredlund, D.G. Fredlund and G. Ward Wilson
</t>
    </r>
    <r>
      <rPr>
        <b/>
        <sz val="9"/>
        <color theme="1"/>
        <rFont val="Calibri"/>
        <family val="2"/>
        <charset val="162"/>
        <scheme val="minor"/>
      </rPr>
      <t>Excel Uyarlama:</t>
    </r>
    <r>
      <rPr>
        <sz val="9"/>
        <color theme="1"/>
        <rFont val="Calibri"/>
        <family val="2"/>
        <charset val="162"/>
        <scheme val="minor"/>
      </rPr>
      <t xml:space="preserve"> (c) Mehmet DURMAZ Haziran 2015</t>
    </r>
  </si>
  <si>
    <r>
      <rPr>
        <b/>
        <sz val="11"/>
        <color theme="1"/>
        <rFont val="Calibri"/>
        <family val="2"/>
        <charset val="162"/>
        <scheme val="minor"/>
      </rPr>
      <t>Analitik Denklem ile Gradasyon Dağılımının Sayısallaştırılması</t>
    </r>
    <r>
      <rPr>
        <sz val="11"/>
        <color theme="1"/>
        <rFont val="Calibri"/>
        <family val="2"/>
        <charset val="162"/>
        <scheme val="minor"/>
      </rPr>
      <t xml:space="preserve">
Excel Uyarlama: (c) Mehmet DURMAZ Haziran 2015</t>
    </r>
  </si>
  <si>
    <t>Analitik Hesabı</t>
  </si>
  <si>
    <r>
      <t>Std.P R</t>
    </r>
    <r>
      <rPr>
        <b/>
        <vertAlign val="superscript"/>
        <sz val="8"/>
        <rFont val="Arial"/>
        <family val="2"/>
        <charset val="162"/>
      </rPr>
      <t>2</t>
    </r>
  </si>
  <si>
    <r>
      <t xml:space="preserve">Hata </t>
    </r>
    <r>
      <rPr>
        <b/>
        <sz val="8"/>
        <rFont val="Arial Tur"/>
        <charset val="162"/>
      </rPr>
      <t>Σ</t>
    </r>
    <r>
      <rPr>
        <b/>
        <sz val="8"/>
        <rFont val="Arial"/>
        <family val="2"/>
        <charset val="162"/>
      </rPr>
      <t>R</t>
    </r>
    <r>
      <rPr>
        <b/>
        <vertAlign val="superscript"/>
        <sz val="8"/>
        <rFont val="Arial"/>
        <family val="2"/>
        <charset val="162"/>
      </rPr>
      <t>2</t>
    </r>
  </si>
  <si>
    <r>
      <t xml:space="preserve">Hata </t>
    </r>
    <r>
      <rPr>
        <b/>
        <sz val="9"/>
        <rFont val="Arial Tur"/>
        <charset val="162"/>
      </rPr>
      <t>Σ</t>
    </r>
    <r>
      <rPr>
        <b/>
        <sz val="9"/>
        <rFont val="Arial"/>
        <family val="2"/>
        <charset val="162"/>
      </rPr>
      <t>R</t>
    </r>
    <r>
      <rPr>
        <b/>
        <vertAlign val="superscript"/>
        <sz val="9"/>
        <rFont val="Arial"/>
        <family val="2"/>
        <charset val="162"/>
      </rPr>
      <t>2</t>
    </r>
    <r>
      <rPr>
        <b/>
        <sz val="9"/>
        <rFont val="Arial"/>
        <family val="2"/>
        <charset val="162"/>
      </rPr>
      <t>/11</t>
    </r>
  </si>
  <si>
    <r>
      <t xml:space="preserve">Hata </t>
    </r>
    <r>
      <rPr>
        <b/>
        <sz val="9"/>
        <rFont val="Arial Tur"/>
        <charset val="162"/>
      </rPr>
      <t>Σ</t>
    </r>
    <r>
      <rPr>
        <b/>
        <sz val="9"/>
        <rFont val="Arial"/>
        <family val="2"/>
        <charset val="162"/>
      </rPr>
      <t>R</t>
    </r>
    <r>
      <rPr>
        <b/>
        <vertAlign val="superscript"/>
        <sz val="9"/>
        <rFont val="Arial"/>
        <family val="2"/>
        <charset val="162"/>
      </rPr>
      <t>2</t>
    </r>
    <r>
      <rPr>
        <b/>
        <sz val="9"/>
        <rFont val="Arial"/>
        <family val="2"/>
        <charset val="162"/>
      </rPr>
      <t>/53</t>
    </r>
  </si>
  <si>
    <r>
      <t xml:space="preserve">kabul edilen en küçük elek aralığı. </t>
    </r>
    <r>
      <rPr>
        <b/>
        <sz val="11"/>
        <color rgb="FF0070C0"/>
        <rFont val="Calibri"/>
        <family val="2"/>
        <charset val="162"/>
        <scheme val="minor"/>
      </rPr>
      <t>Giriş değeri: 0,020</t>
    </r>
  </si>
  <si>
    <r>
      <t xml:space="preserve">alt eğriler için ağırlıklandırma faktörü.
</t>
    </r>
    <r>
      <rPr>
        <b/>
        <sz val="11"/>
        <color rgb="FF0070C0"/>
        <rFont val="Calibri"/>
        <family val="2"/>
        <charset val="162"/>
        <scheme val="minor"/>
      </rPr>
      <t>Giriş değeri 0 &lt; w &lt; 1</t>
    </r>
  </si>
  <si>
    <r>
      <t xml:space="preserve">gradasyon eğrisinin ilk parça eğim şekli ile ilgili parametre. 
</t>
    </r>
    <r>
      <rPr>
        <b/>
        <sz val="11"/>
        <color rgb="FF0070C0"/>
        <rFont val="Calibri"/>
        <family val="2"/>
        <charset val="162"/>
        <scheme val="minor"/>
      </rPr>
      <t>Giriş Değeri: son %100 geçen elek çapının yarısı</t>
    </r>
  </si>
  <si>
    <r>
      <t xml:space="preserve">kabul edilen en küçük elek aralığı. 
</t>
    </r>
    <r>
      <rPr>
        <b/>
        <sz val="11"/>
        <color rgb="FF0070C0"/>
        <rFont val="Calibri"/>
        <family val="2"/>
        <charset val="162"/>
        <scheme val="minor"/>
      </rPr>
      <t>Giriş değeri: 0,020</t>
    </r>
  </si>
  <si>
    <r>
      <t xml:space="preserve">toplam malzeme içindeki ince kısım miktarı ile ilgili parametre. </t>
    </r>
    <r>
      <rPr>
        <b/>
        <sz val="11"/>
        <color rgb="FF0070C0"/>
        <rFont val="Calibri"/>
        <family val="2"/>
        <charset val="162"/>
        <scheme val="minor"/>
      </rPr>
      <t>Giriş değeri: 9.5 mm elek % x 1000)</t>
    </r>
  </si>
  <si>
    <t xml:space="preserve">hesap ile bulunan elekten yüzde geçen (%). </t>
  </si>
  <si>
    <r>
      <t xml:space="preserve">gradasyon eğrisinin ilk bükülme noktası ve eğride ilk aşağı eğimi ifade eden parametre. </t>
    </r>
    <r>
      <rPr>
        <b/>
        <sz val="11"/>
        <color rgb="FF0070C0"/>
        <rFont val="Calibri"/>
        <family val="2"/>
        <charset val="162"/>
        <scheme val="minor"/>
      </rPr>
      <t>Giriş değeri: 1</t>
    </r>
  </si>
  <si>
    <r>
      <t xml:space="preserve">gradasyon eğrisinin en dik olduğu kısım ile (danelerin uniformluluğu ile) ilgili parametre. </t>
    </r>
    <r>
      <rPr>
        <b/>
        <sz val="11"/>
        <color rgb="FF0070C0"/>
        <rFont val="Calibri"/>
        <family val="2"/>
        <charset val="162"/>
        <scheme val="minor"/>
      </rPr>
      <t>Giriş değeri: 1</t>
    </r>
  </si>
  <si>
    <r>
      <t xml:space="preserve">gradasyon eğrisinin ince kısıma girdiği eğim şekli ile ilgili parametre. </t>
    </r>
    <r>
      <rPr>
        <b/>
        <sz val="11"/>
        <color rgb="FF0070C0"/>
        <rFont val="Calibri"/>
        <family val="2"/>
        <charset val="162"/>
        <scheme val="minor"/>
      </rPr>
      <t>Giriş Değeri: son %100 geçen elek çapının yarısı</t>
    </r>
  </si>
  <si>
    <r>
      <t xml:space="preserve">gradasyon eğrisinin ilk en dik olduğu kısım ile (danelerin uniformluluğu ile) ilgili parametre.
</t>
    </r>
    <r>
      <rPr>
        <b/>
        <sz val="11"/>
        <color rgb="FF0070C0"/>
        <rFont val="Calibri"/>
        <family val="2"/>
        <charset val="162"/>
        <scheme val="minor"/>
      </rPr>
      <t>Giriş değeri: 1</t>
    </r>
  </si>
  <si>
    <r>
      <t xml:space="preserve">gradasyon eğrisinin ikinci bükülme noktası ve eğride ikinci aşağı eğimi ifade eden parametre.
</t>
    </r>
    <r>
      <rPr>
        <b/>
        <sz val="11"/>
        <color rgb="FF0070C0"/>
        <rFont val="Calibri"/>
        <family val="2"/>
        <charset val="162"/>
        <scheme val="minor"/>
      </rPr>
      <t>Giriş Değeri: son %100 geçen elek çapının yarısı</t>
    </r>
  </si>
  <si>
    <r>
      <rPr>
        <b/>
        <sz val="11"/>
        <color theme="1"/>
        <rFont val="Calibri"/>
        <family val="2"/>
        <charset val="162"/>
        <scheme val="minor"/>
      </rPr>
      <t>Bimodal Denklem ile Gradasyon Dağılımının Sayısallaştırılması</t>
    </r>
    <r>
      <rPr>
        <sz val="11"/>
        <color theme="1"/>
        <rFont val="Calibri"/>
        <family val="2"/>
        <charset val="162"/>
        <scheme val="minor"/>
      </rPr>
      <t xml:space="preserve">
</t>
    </r>
    <r>
      <rPr>
        <b/>
        <sz val="11"/>
        <color theme="1"/>
        <rFont val="Calibri"/>
        <family val="2"/>
        <charset val="162"/>
        <scheme val="minor"/>
      </rPr>
      <t>Kaynakça:</t>
    </r>
    <r>
      <rPr>
        <sz val="11"/>
        <color theme="1"/>
        <rFont val="Calibri"/>
        <family val="2"/>
        <charset val="162"/>
        <scheme val="minor"/>
      </rPr>
      <t xml:space="preserve"> "An equation to represent grain-size distribution", Murray D. Fredlund, D.G. Fredlund and G. Ward Wilson
</t>
    </r>
    <r>
      <rPr>
        <b/>
        <sz val="11"/>
        <color theme="1"/>
        <rFont val="Calibri"/>
        <family val="2"/>
        <charset val="162"/>
        <scheme val="minor"/>
      </rPr>
      <t>Excel Uyarlama:</t>
    </r>
    <r>
      <rPr>
        <sz val="11"/>
        <color theme="1"/>
        <rFont val="Calibri"/>
        <family val="2"/>
        <charset val="162"/>
        <scheme val="minor"/>
      </rPr>
      <t xml:space="preserve"> (c) Mehmet DURMAZ Haziran 2015</t>
    </r>
  </si>
  <si>
    <r>
      <t xml:space="preserve">gradasyon eğrisinin ikinci  parça eğim şekli ile ilgili parametre. </t>
    </r>
    <r>
      <rPr>
        <b/>
        <sz val="11"/>
        <color rgb="FF0070C0"/>
        <rFont val="Calibri"/>
        <family val="2"/>
        <charset val="162"/>
        <scheme val="minor"/>
      </rPr>
      <t>Giriş değeri: 1</t>
    </r>
  </si>
  <si>
    <r>
      <t xml:space="preserve">toplam malzeme içindeki ince kısım miktarı ile ilgili parametre. </t>
    </r>
    <r>
      <rPr>
        <b/>
        <sz val="11"/>
        <color rgb="FF0070C0"/>
        <rFont val="Calibri"/>
        <family val="2"/>
        <charset val="162"/>
        <scheme val="minor"/>
      </rPr>
      <t>Giriş değeri: 1</t>
    </r>
  </si>
  <si>
    <r>
      <t xml:space="preserve">gradasyon eğrisinin ikinci en dik olduğu kısım ile (danelerin uniformluluğu ile) ilgili parametre. </t>
    </r>
    <r>
      <rPr>
        <b/>
        <sz val="11"/>
        <color rgb="FF0070C0"/>
        <rFont val="Calibri"/>
        <family val="2"/>
        <charset val="162"/>
        <scheme val="minor"/>
      </rPr>
      <t>Giriş değeri: 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</si>
</sst>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0.0&quot; gr&quot;"/>
    <numFmt numFmtId="167" formatCode="0&quot; gr&quot;"/>
    <numFmt numFmtId="168" formatCode="0&quot; cm3&quot;"/>
    <numFmt numFmtId="169" formatCode="0.00&quot; gr&quot;"/>
  </numFmts>
  <fonts count="36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0"/>
      <name val="Arial Tur"/>
      <charset val="162"/>
    </font>
    <font>
      <b/>
      <sz val="10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8"/>
      <name val="Arial"/>
      <family val="2"/>
      <charset val="162"/>
    </font>
    <font>
      <b/>
      <sz val="8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sz val="8"/>
      <name val="Arial"/>
      <family val="2"/>
      <charset val="162"/>
    </font>
    <font>
      <sz val="8"/>
      <color theme="1"/>
      <name val="Calibri"/>
      <family val="2"/>
      <charset val="162"/>
      <scheme val="minor"/>
    </font>
    <font>
      <sz val="11"/>
      <color theme="0" tint="-0.249977111117893"/>
      <name val="Calibri"/>
      <family val="2"/>
      <charset val="162"/>
      <scheme val="minor"/>
    </font>
    <font>
      <b/>
      <sz val="11"/>
      <color theme="0" tint="-0.34998626667073579"/>
      <name val="Calibri"/>
      <family val="2"/>
      <charset val="162"/>
      <scheme val="minor"/>
    </font>
    <font>
      <sz val="11"/>
      <color theme="0" tint="-0.34998626667073579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9"/>
      <color theme="1"/>
      <name val="Arial"/>
      <family val="2"/>
      <charset val="162"/>
    </font>
    <font>
      <b/>
      <sz val="9"/>
      <name val="Arial"/>
      <family val="2"/>
      <charset val="162"/>
    </font>
    <font>
      <b/>
      <sz val="9"/>
      <name val="Arial Tur"/>
      <charset val="162"/>
    </font>
    <font>
      <b/>
      <vertAlign val="superscript"/>
      <sz val="9"/>
      <name val="Arial"/>
      <family val="2"/>
      <charset val="162"/>
    </font>
    <font>
      <b/>
      <sz val="11"/>
      <color theme="1"/>
      <name val="Arial"/>
      <family val="2"/>
      <charset val="162"/>
    </font>
    <font>
      <b/>
      <vertAlign val="subscript"/>
      <sz val="11"/>
      <color theme="1"/>
      <name val="Arial"/>
      <family val="2"/>
      <charset val="162"/>
    </font>
    <font>
      <b/>
      <vertAlign val="subscript"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vertAlign val="subscript"/>
      <sz val="14"/>
      <color theme="1"/>
      <name val="Calibri"/>
      <family val="2"/>
      <charset val="162"/>
      <scheme val="minor"/>
    </font>
    <font>
      <b/>
      <vertAlign val="subscript"/>
      <sz val="11"/>
      <name val="Arial"/>
      <family val="2"/>
      <charset val="162"/>
    </font>
    <font>
      <b/>
      <sz val="11"/>
      <name val="Arial"/>
      <family val="2"/>
      <charset val="162"/>
    </font>
    <font>
      <b/>
      <sz val="9"/>
      <color theme="0"/>
      <name val="Arial"/>
      <family val="2"/>
      <charset val="162"/>
    </font>
    <font>
      <b/>
      <sz val="11"/>
      <color theme="0"/>
      <name val="Arial"/>
      <family val="2"/>
      <charset val="162"/>
    </font>
    <font>
      <sz val="9"/>
      <color theme="1"/>
      <name val="Arial"/>
      <family val="2"/>
      <charset val="162"/>
    </font>
    <font>
      <b/>
      <vertAlign val="superscript"/>
      <sz val="8"/>
      <name val="Arial"/>
      <family val="2"/>
      <charset val="162"/>
    </font>
    <font>
      <b/>
      <sz val="8"/>
      <name val="Arial Tur"/>
      <charset val="162"/>
    </font>
    <font>
      <b/>
      <sz val="11"/>
      <color rgb="FF0070C0"/>
      <name val="Calibri"/>
      <family val="2"/>
      <charset val="16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tted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 style="dotted">
        <color indexed="64"/>
      </left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double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4">
    <xf numFmtId="0" fontId="0" fillId="0" borderId="0"/>
    <xf numFmtId="0" fontId="2" fillId="0" borderId="0"/>
    <xf numFmtId="0" fontId="6" fillId="0" borderId="0"/>
    <xf numFmtId="0" fontId="8" fillId="0" borderId="0"/>
  </cellStyleXfs>
  <cellXfs count="238">
    <xf numFmtId="0" fontId="0" fillId="0" borderId="0" xfId="0"/>
    <xf numFmtId="0" fontId="1" fillId="0" borderId="0" xfId="0" applyFont="1" applyBorder="1" applyAlignment="1">
      <alignment horizontal="center" vertical="center" wrapText="1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/>
    <xf numFmtId="0" fontId="4" fillId="2" borderId="8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2" fontId="5" fillId="0" borderId="0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3" borderId="8" xfId="0" applyNumberFormat="1" applyFont="1" applyFill="1" applyBorder="1" applyAlignment="1">
      <alignment horizontal="center" vertical="center"/>
    </xf>
    <xf numFmtId="0" fontId="4" fillId="3" borderId="9" xfId="0" applyNumberFormat="1" applyFont="1" applyFill="1" applyBorder="1" applyAlignment="1">
      <alignment horizontal="center" vertical="center"/>
    </xf>
    <xf numFmtId="0" fontId="4" fillId="5" borderId="8" xfId="0" applyNumberFormat="1" applyFont="1" applyFill="1" applyBorder="1" applyAlignment="1">
      <alignment horizontal="center" vertical="center"/>
    </xf>
    <xf numFmtId="0" fontId="4" fillId="4" borderId="8" xfId="0" applyNumberFormat="1" applyFont="1" applyFill="1" applyBorder="1" applyAlignment="1">
      <alignment horizontal="center" vertical="center"/>
    </xf>
    <xf numFmtId="0" fontId="4" fillId="3" borderId="12" xfId="0" applyNumberFormat="1" applyFont="1" applyFill="1" applyBorder="1" applyAlignment="1">
      <alignment horizontal="center" vertical="center"/>
    </xf>
    <xf numFmtId="2" fontId="5" fillId="0" borderId="0" xfId="0" applyNumberFormat="1" applyFont="1" applyBorder="1" applyAlignment="1">
      <alignment horizontal="center"/>
    </xf>
    <xf numFmtId="0" fontId="4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4" fillId="5" borderId="0" xfId="0" applyNumberFormat="1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4" fillId="5" borderId="11" xfId="0" applyNumberFormat="1" applyFont="1" applyFill="1" applyBorder="1" applyAlignment="1">
      <alignment horizontal="center" vertical="center"/>
    </xf>
    <xf numFmtId="167" fontId="5" fillId="4" borderId="9" xfId="0" applyNumberFormat="1" applyFont="1" applyFill="1" applyBorder="1" applyAlignment="1">
      <alignment horizontal="center" vertical="center"/>
    </xf>
    <xf numFmtId="167" fontId="5" fillId="5" borderId="9" xfId="0" applyNumberFormat="1" applyFont="1" applyFill="1" applyBorder="1" applyAlignment="1">
      <alignment horizontal="center" vertical="center"/>
    </xf>
    <xf numFmtId="167" fontId="5" fillId="5" borderId="12" xfId="0" applyNumberFormat="1" applyFont="1" applyFill="1" applyBorder="1" applyAlignment="1">
      <alignment horizontal="center" vertical="center"/>
    </xf>
    <xf numFmtId="168" fontId="5" fillId="4" borderId="10" xfId="0" applyNumberFormat="1" applyFont="1" applyFill="1" applyBorder="1" applyAlignment="1">
      <alignment horizontal="center" vertical="center"/>
    </xf>
    <xf numFmtId="168" fontId="5" fillId="5" borderId="10" xfId="0" applyNumberFormat="1" applyFont="1" applyFill="1" applyBorder="1" applyAlignment="1">
      <alignment horizontal="center" vertical="center"/>
    </xf>
    <xf numFmtId="168" fontId="5" fillId="5" borderId="13" xfId="0" applyNumberFormat="1" applyFont="1" applyFill="1" applyBorder="1" applyAlignment="1">
      <alignment horizontal="center" vertical="center"/>
    </xf>
    <xf numFmtId="0" fontId="4" fillId="7" borderId="8" xfId="0" applyNumberFormat="1" applyFont="1" applyFill="1" applyBorder="1" applyAlignment="1">
      <alignment horizontal="center" vertical="center"/>
    </xf>
    <xf numFmtId="166" fontId="5" fillId="7" borderId="9" xfId="0" applyNumberFormat="1" applyFont="1" applyFill="1" applyBorder="1" applyAlignment="1">
      <alignment horizontal="right" vertical="center"/>
    </xf>
    <xf numFmtId="0" fontId="4" fillId="7" borderId="9" xfId="0" applyNumberFormat="1" applyFont="1" applyFill="1" applyBorder="1" applyAlignment="1">
      <alignment horizontal="center" vertical="center"/>
    </xf>
    <xf numFmtId="166" fontId="5" fillId="7" borderId="10" xfId="0" applyNumberFormat="1" applyFont="1" applyFill="1" applyBorder="1" applyAlignment="1">
      <alignment horizontal="right" vertical="center"/>
    </xf>
    <xf numFmtId="0" fontId="4" fillId="8" borderId="8" xfId="0" applyNumberFormat="1" applyFont="1" applyFill="1" applyBorder="1" applyAlignment="1">
      <alignment horizontal="center" vertical="center"/>
    </xf>
    <xf numFmtId="166" fontId="5" fillId="8" borderId="9" xfId="0" applyNumberFormat="1" applyFont="1" applyFill="1" applyBorder="1" applyAlignment="1">
      <alignment horizontal="right" vertical="center"/>
    </xf>
    <xf numFmtId="0" fontId="4" fillId="8" borderId="9" xfId="0" applyNumberFormat="1" applyFont="1" applyFill="1" applyBorder="1" applyAlignment="1">
      <alignment horizontal="center" vertical="center"/>
    </xf>
    <xf numFmtId="166" fontId="5" fillId="8" borderId="10" xfId="0" applyNumberFormat="1" applyFont="1" applyFill="1" applyBorder="1" applyAlignment="1">
      <alignment horizontal="right" vertical="center"/>
    </xf>
    <xf numFmtId="0" fontId="1" fillId="9" borderId="9" xfId="0" applyFont="1" applyFill="1" applyBorder="1" applyAlignment="1">
      <alignment horizontal="center" vertical="center" wrapText="1"/>
    </xf>
    <xf numFmtId="2" fontId="5" fillId="9" borderId="9" xfId="0" applyNumberFormat="1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9" borderId="7" xfId="0" applyFont="1" applyFill="1" applyBorder="1" applyAlignment="1">
      <alignment horizontal="center" vertical="center" wrapText="1"/>
    </xf>
    <xf numFmtId="0" fontId="1" fillId="9" borderId="6" xfId="0" applyFont="1" applyFill="1" applyBorder="1" applyAlignment="1">
      <alignment horizontal="right" vertical="center" wrapText="1"/>
    </xf>
    <xf numFmtId="0" fontId="0" fillId="9" borderId="6" xfId="0" applyFont="1" applyFill="1" applyBorder="1" applyAlignment="1">
      <alignment horizontal="center"/>
    </xf>
    <xf numFmtId="0" fontId="5" fillId="9" borderId="9" xfId="0" applyFont="1" applyFill="1" applyBorder="1" applyAlignment="1">
      <alignment horizontal="center" vertical="center"/>
    </xf>
    <xf numFmtId="0" fontId="5" fillId="9" borderId="12" xfId="0" applyFont="1" applyFill="1" applyBorder="1" applyAlignment="1">
      <alignment horizontal="center" vertical="center"/>
    </xf>
    <xf numFmtId="0" fontId="4" fillId="7" borderId="11" xfId="0" applyNumberFormat="1" applyFont="1" applyFill="1" applyBorder="1" applyAlignment="1">
      <alignment horizontal="center" vertical="center"/>
    </xf>
    <xf numFmtId="166" fontId="5" fillId="7" borderId="12" xfId="0" applyNumberFormat="1" applyFont="1" applyFill="1" applyBorder="1" applyAlignment="1">
      <alignment horizontal="right" vertical="center"/>
    </xf>
    <xf numFmtId="2" fontId="5" fillId="9" borderId="12" xfId="0" applyNumberFormat="1" applyFont="1" applyFill="1" applyBorder="1" applyAlignment="1">
      <alignment horizontal="center" vertical="center"/>
    </xf>
    <xf numFmtId="169" fontId="5" fillId="2" borderId="9" xfId="0" applyNumberFormat="1" applyFont="1" applyFill="1" applyBorder="1" applyAlignment="1">
      <alignment horizontal="center" vertical="center"/>
    </xf>
    <xf numFmtId="169" fontId="5" fillId="3" borderId="9" xfId="0" applyNumberFormat="1" applyFont="1" applyFill="1" applyBorder="1" applyAlignment="1">
      <alignment horizontal="center" vertical="center"/>
    </xf>
    <xf numFmtId="169" fontId="5" fillId="2" borderId="10" xfId="0" applyNumberFormat="1" applyFont="1" applyFill="1" applyBorder="1" applyAlignment="1">
      <alignment horizontal="center" vertical="center"/>
    </xf>
    <xf numFmtId="169" fontId="5" fillId="3" borderId="10" xfId="0" applyNumberFormat="1" applyFont="1" applyFill="1" applyBorder="1" applyAlignment="1">
      <alignment horizontal="center" vertical="center"/>
    </xf>
    <xf numFmtId="169" fontId="5" fillId="3" borderId="13" xfId="0" applyNumberFormat="1" applyFont="1" applyFill="1" applyBorder="1" applyAlignment="1">
      <alignment horizontal="center" vertical="center"/>
    </xf>
    <xf numFmtId="0" fontId="4" fillId="2" borderId="11" xfId="0" applyNumberFormat="1" applyFont="1" applyFill="1" applyBorder="1" applyAlignment="1">
      <alignment horizontal="center" vertical="center"/>
    </xf>
    <xf numFmtId="169" fontId="5" fillId="2" borderId="12" xfId="0" applyNumberFormat="1" applyFont="1" applyFill="1" applyBorder="1" applyAlignment="1">
      <alignment horizontal="center" vertical="center"/>
    </xf>
    <xf numFmtId="0" fontId="4" fillId="8" borderId="12" xfId="0" applyNumberFormat="1" applyFont="1" applyFill="1" applyBorder="1" applyAlignment="1">
      <alignment horizontal="center" vertical="center"/>
    </xf>
    <xf numFmtId="166" fontId="5" fillId="8" borderId="13" xfId="0" applyNumberFormat="1" applyFont="1" applyFill="1" applyBorder="1" applyAlignment="1">
      <alignment horizontal="right" vertical="center"/>
    </xf>
    <xf numFmtId="0" fontId="0" fillId="0" borderId="0" xfId="0" applyProtection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wrapText="1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13" fillId="0" borderId="20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 wrapText="1"/>
    </xf>
    <xf numFmtId="0" fontId="12" fillId="0" borderId="20" xfId="0" applyFont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9" fillId="0" borderId="20" xfId="0" applyFont="1" applyBorder="1" applyAlignment="1" applyProtection="1">
      <alignment horizontal="center" vertical="center" wrapText="1"/>
    </xf>
    <xf numFmtId="12" fontId="1" fillId="8" borderId="1" xfId="0" applyNumberFormat="1" applyFont="1" applyFill="1" applyBorder="1" applyAlignment="1" applyProtection="1">
      <alignment horizontal="center"/>
    </xf>
    <xf numFmtId="1" fontId="1" fillId="8" borderId="1" xfId="0" applyNumberFormat="1" applyFont="1" applyFill="1" applyBorder="1" applyAlignment="1" applyProtection="1">
      <alignment horizontal="center"/>
    </xf>
    <xf numFmtId="164" fontId="1" fillId="8" borderId="1" xfId="0" applyNumberFormat="1" applyFont="1" applyFill="1" applyBorder="1" applyAlignment="1" applyProtection="1">
      <alignment horizontal="center"/>
    </xf>
    <xf numFmtId="12" fontId="0" fillId="3" borderId="1" xfId="0" applyNumberFormat="1" applyFill="1" applyBorder="1" applyAlignment="1" applyProtection="1">
      <alignment horizontal="center"/>
    </xf>
    <xf numFmtId="1" fontId="0" fillId="3" borderId="1" xfId="0" applyNumberFormat="1" applyFill="1" applyBorder="1" applyAlignment="1" applyProtection="1">
      <alignment horizontal="center"/>
    </xf>
    <xf numFmtId="164" fontId="0" fillId="3" borderId="1" xfId="0" applyNumberFormat="1" applyFill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/>
    </xf>
    <xf numFmtId="2" fontId="1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</xf>
    <xf numFmtId="2" fontId="0" fillId="3" borderId="1" xfId="0" applyNumberFormat="1" applyFill="1" applyBorder="1" applyAlignment="1" applyProtection="1">
      <alignment horizontal="center"/>
    </xf>
    <xf numFmtId="165" fontId="0" fillId="3" borderId="1" xfId="0" applyNumberFormat="1" applyFill="1" applyBorder="1" applyAlignment="1" applyProtection="1">
      <alignment horizontal="center"/>
    </xf>
    <xf numFmtId="165" fontId="1" fillId="8" borderId="1" xfId="0" applyNumberFormat="1" applyFont="1" applyFill="1" applyBorder="1" applyAlignment="1" applyProtection="1">
      <alignment horizontal="center"/>
    </xf>
    <xf numFmtId="0" fontId="17" fillId="0" borderId="20" xfId="0" applyFont="1" applyFill="1" applyBorder="1" applyAlignment="1" applyProtection="1">
      <alignment horizontal="center"/>
    </xf>
    <xf numFmtId="0" fontId="16" fillId="0" borderId="20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>
      <alignment horizontal="center"/>
    </xf>
    <xf numFmtId="0" fontId="16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horizontal="center"/>
    </xf>
    <xf numFmtId="0" fontId="12" fillId="0" borderId="0" xfId="0" applyFont="1" applyBorder="1" applyAlignment="1" applyProtection="1">
      <alignment horizontal="center"/>
    </xf>
    <xf numFmtId="0" fontId="13" fillId="0" borderId="0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wrapText="1"/>
    </xf>
    <xf numFmtId="0" fontId="0" fillId="0" borderId="0" xfId="0" applyBorder="1" applyAlignment="1" applyProtection="1">
      <alignment wrapText="1"/>
    </xf>
    <xf numFmtId="0" fontId="14" fillId="0" borderId="0" xfId="0" applyFont="1" applyBorder="1" applyAlignment="1" applyProtection="1">
      <alignment vertical="center"/>
    </xf>
    <xf numFmtId="0" fontId="14" fillId="0" borderId="0" xfId="0" applyFont="1" applyBorder="1" applyAlignment="1" applyProtection="1">
      <alignment vertical="center" wrapText="1"/>
    </xf>
    <xf numFmtId="0" fontId="15" fillId="0" borderId="0" xfId="0" applyFont="1" applyBorder="1" applyAlignment="1" applyProtection="1">
      <alignment horizontal="center"/>
    </xf>
    <xf numFmtId="0" fontId="15" fillId="0" borderId="0" xfId="0" applyFont="1" applyBorder="1" applyAlignment="1" applyProtection="1">
      <alignment horizontal="center" wrapText="1"/>
    </xf>
    <xf numFmtId="1" fontId="1" fillId="0" borderId="0" xfId="0" applyNumberFormat="1" applyFont="1" applyBorder="1" applyAlignment="1" applyProtection="1">
      <alignment horizontal="center" wrapText="1"/>
    </xf>
    <xf numFmtId="164" fontId="1" fillId="0" borderId="0" xfId="0" applyNumberFormat="1" applyFont="1" applyBorder="1" applyAlignment="1" applyProtection="1">
      <alignment horizontal="center" wrapText="1"/>
    </xf>
    <xf numFmtId="12" fontId="1" fillId="8" borderId="1" xfId="0" applyNumberFormat="1" applyFont="1" applyFill="1" applyBorder="1" applyAlignment="1" applyProtection="1">
      <alignment horizontal="center" vertical="center"/>
    </xf>
    <xf numFmtId="1" fontId="1" fillId="8" borderId="1" xfId="0" applyNumberFormat="1" applyFont="1" applyFill="1" applyBorder="1" applyAlignment="1" applyProtection="1">
      <alignment horizontal="center" vertical="center"/>
    </xf>
    <xf numFmtId="1" fontId="1" fillId="11" borderId="1" xfId="0" applyNumberFormat="1" applyFont="1" applyFill="1" applyBorder="1" applyAlignment="1" applyProtection="1">
      <alignment horizontal="center" vertical="center"/>
    </xf>
    <xf numFmtId="12" fontId="0" fillId="3" borderId="1" xfId="0" applyNumberFormat="1" applyFill="1" applyBorder="1" applyAlignment="1" applyProtection="1">
      <alignment horizontal="center" vertical="center"/>
    </xf>
    <xf numFmtId="1" fontId="0" fillId="3" borderId="1" xfId="0" applyNumberFormat="1" applyFill="1" applyBorder="1" applyAlignment="1" applyProtection="1">
      <alignment horizontal="center" vertical="center"/>
    </xf>
    <xf numFmtId="164" fontId="0" fillId="3" borderId="1" xfId="0" applyNumberFormat="1" applyFill="1" applyBorder="1" applyAlignment="1" applyProtection="1">
      <alignment horizontal="center" vertical="center"/>
    </xf>
    <xf numFmtId="164" fontId="1" fillId="11" borderId="1" xfId="0" applyNumberFormat="1" applyFont="1" applyFill="1" applyBorder="1" applyAlignment="1" applyProtection="1">
      <alignment horizontal="center" vertical="center"/>
    </xf>
    <xf numFmtId="164" fontId="1" fillId="8" borderId="1" xfId="0" applyNumberFormat="1" applyFont="1" applyFill="1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 vertical="center"/>
    </xf>
    <xf numFmtId="0" fontId="0" fillId="0" borderId="34" xfId="0" applyBorder="1" applyAlignment="1" applyProtection="1">
      <alignment horizontal="center" wrapText="1"/>
    </xf>
    <xf numFmtId="0" fontId="0" fillId="0" borderId="33" xfId="0" applyBorder="1" applyAlignment="1" applyProtection="1">
      <alignment vertical="center" wrapText="1"/>
    </xf>
    <xf numFmtId="0" fontId="0" fillId="0" borderId="37" xfId="0" applyBorder="1" applyAlignment="1" applyProtection="1">
      <alignment horizontal="center" wrapText="1"/>
    </xf>
    <xf numFmtId="0" fontId="17" fillId="0" borderId="34" xfId="0" applyFont="1" applyFill="1" applyBorder="1" applyAlignment="1" applyProtection="1">
      <alignment horizontal="center"/>
    </xf>
    <xf numFmtId="2" fontId="1" fillId="11" borderId="1" xfId="0" applyNumberFormat="1" applyFont="1" applyFill="1" applyBorder="1" applyAlignment="1" applyProtection="1">
      <alignment horizontal="center" vertical="center"/>
    </xf>
    <xf numFmtId="165" fontId="1" fillId="11" borderId="1" xfId="0" applyNumberFormat="1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64" fontId="1" fillId="9" borderId="38" xfId="0" applyNumberFormat="1" applyFont="1" applyFill="1" applyBorder="1" applyAlignment="1" applyProtection="1">
      <alignment horizontal="right" vertical="center"/>
    </xf>
    <xf numFmtId="1" fontId="1" fillId="9" borderId="39" xfId="0" applyNumberFormat="1" applyFont="1" applyFill="1" applyBorder="1" applyAlignment="1" applyProtection="1">
      <alignment horizontal="left" vertical="center"/>
    </xf>
    <xf numFmtId="164" fontId="1" fillId="9" borderId="40" xfId="0" applyNumberFormat="1" applyFont="1" applyFill="1" applyBorder="1" applyAlignment="1" applyProtection="1">
      <alignment horizontal="right" vertical="center"/>
    </xf>
    <xf numFmtId="1" fontId="1" fillId="9" borderId="3" xfId="0" applyNumberFormat="1" applyFont="1" applyFill="1" applyBorder="1" applyAlignment="1" applyProtection="1">
      <alignment horizontal="left" vertical="center"/>
    </xf>
    <xf numFmtId="0" fontId="1" fillId="9" borderId="3" xfId="0" applyFont="1" applyFill="1" applyBorder="1" applyAlignment="1" applyProtection="1">
      <alignment horizontal="left" vertical="center"/>
    </xf>
    <xf numFmtId="165" fontId="23" fillId="9" borderId="24" xfId="0" applyNumberFormat="1" applyFont="1" applyFill="1" applyBorder="1" applyAlignment="1" applyProtection="1">
      <alignment vertical="center"/>
    </xf>
    <xf numFmtId="165" fontId="29" fillId="9" borderId="26" xfId="0" applyNumberFormat="1" applyFont="1" applyFill="1" applyBorder="1" applyAlignment="1" applyProtection="1">
      <alignment vertical="center"/>
    </xf>
    <xf numFmtId="164" fontId="23" fillId="9" borderId="26" xfId="0" applyNumberFormat="1" applyFont="1" applyFill="1" applyBorder="1" applyAlignment="1" applyProtection="1">
      <alignment vertical="center"/>
    </xf>
    <xf numFmtId="164" fontId="29" fillId="9" borderId="29" xfId="0" applyNumberFormat="1" applyFont="1" applyFill="1" applyBorder="1" applyAlignment="1" applyProtection="1">
      <alignment vertical="center"/>
    </xf>
    <xf numFmtId="2" fontId="31" fillId="12" borderId="1" xfId="0" applyNumberFormat="1" applyFont="1" applyFill="1" applyBorder="1" applyAlignment="1" applyProtection="1">
      <alignment horizontal="center" vertical="center" wrapText="1"/>
    </xf>
    <xf numFmtId="165" fontId="9" fillId="13" borderId="1" xfId="0" applyNumberFormat="1" applyFont="1" applyFill="1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/>
    </xf>
    <xf numFmtId="0" fontId="0" fillId="0" borderId="33" xfId="0" applyBorder="1" applyAlignment="1" applyProtection="1">
      <alignment horizontal="center"/>
    </xf>
    <xf numFmtId="0" fontId="0" fillId="0" borderId="33" xfId="0" applyBorder="1" applyProtection="1"/>
    <xf numFmtId="0" fontId="0" fillId="0" borderId="35" xfId="0" applyBorder="1" applyAlignment="1" applyProtection="1">
      <alignment horizontal="center"/>
    </xf>
    <xf numFmtId="0" fontId="0" fillId="0" borderId="36" xfId="0" applyBorder="1" applyAlignment="1" applyProtection="1">
      <alignment horizontal="center"/>
    </xf>
    <xf numFmtId="165" fontId="10" fillId="0" borderId="1" xfId="0" applyNumberFormat="1" applyFont="1" applyFill="1" applyBorder="1" applyAlignment="1" applyProtection="1">
      <alignment vertical="center"/>
      <protection locked="0"/>
    </xf>
    <xf numFmtId="165" fontId="11" fillId="0" borderId="1" xfId="0" applyNumberFormat="1" applyFont="1" applyFill="1" applyBorder="1" applyAlignment="1" applyProtection="1">
      <alignment vertical="center"/>
      <protection locked="0"/>
    </xf>
    <xf numFmtId="165" fontId="32" fillId="13" borderId="1" xfId="0" applyNumberFormat="1" applyFont="1" applyFill="1" applyBorder="1" applyAlignment="1" applyProtection="1">
      <alignment horizontal="center" vertical="center" wrapText="1"/>
    </xf>
    <xf numFmtId="165" fontId="12" fillId="13" borderId="1" xfId="0" applyNumberFormat="1" applyFont="1" applyFill="1" applyBorder="1" applyAlignment="1" applyProtection="1">
      <alignment horizontal="center" vertical="center" wrapText="1"/>
    </xf>
    <xf numFmtId="1" fontId="10" fillId="0" borderId="1" xfId="0" applyNumberFormat="1" applyFont="1" applyFill="1" applyBorder="1" applyAlignment="1" applyProtection="1">
      <alignment vertical="center"/>
      <protection locked="0"/>
    </xf>
    <xf numFmtId="164" fontId="11" fillId="0" borderId="1" xfId="0" applyNumberFormat="1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20" fillId="10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wrapText="1"/>
    </xf>
    <xf numFmtId="1" fontId="0" fillId="0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wrapText="1"/>
    </xf>
    <xf numFmtId="0" fontId="20" fillId="10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30" fillId="0" borderId="44" xfId="0" applyFont="1" applyFill="1" applyBorder="1" applyAlignment="1" applyProtection="1">
      <alignment horizontal="center" vertical="center"/>
    </xf>
    <xf numFmtId="0" fontId="30" fillId="0" borderId="44" xfId="0" applyFont="1" applyFill="1" applyBorder="1" applyAlignment="1" applyProtection="1">
      <alignment horizontal="center" vertical="center" wrapText="1"/>
    </xf>
    <xf numFmtId="12" fontId="1" fillId="10" borderId="1" xfId="0" applyNumberFormat="1" applyFont="1" applyFill="1" applyBorder="1" applyAlignment="1" applyProtection="1">
      <alignment horizontal="center" vertical="center"/>
    </xf>
    <xf numFmtId="165" fontId="1" fillId="14" borderId="1" xfId="0" applyNumberFormat="1" applyFont="1" applyFill="1" applyBorder="1" applyAlignment="1" applyProtection="1">
      <alignment horizontal="center"/>
      <protection locked="0"/>
    </xf>
    <xf numFmtId="1" fontId="0" fillId="10" borderId="1" xfId="0" applyNumberFormat="1" applyFill="1" applyBorder="1" applyAlignment="1" applyProtection="1">
      <alignment horizontal="center"/>
      <protection locked="0"/>
    </xf>
    <xf numFmtId="164" fontId="0" fillId="10" borderId="1" xfId="0" applyNumberFormat="1" applyFill="1" applyBorder="1" applyAlignment="1" applyProtection="1">
      <alignment horizontal="center"/>
      <protection locked="0"/>
    </xf>
    <xf numFmtId="2" fontId="0" fillId="10" borderId="1" xfId="0" applyNumberFormat="1" applyFill="1" applyBorder="1" applyAlignment="1" applyProtection="1">
      <alignment horizontal="center"/>
      <protection locked="0"/>
    </xf>
    <xf numFmtId="165" fontId="0" fillId="0" borderId="1" xfId="0" applyNumberFormat="1" applyFont="1" applyFill="1" applyBorder="1" applyAlignment="1" applyProtection="1">
      <alignment horizontal="center"/>
      <protection locked="0"/>
    </xf>
    <xf numFmtId="165" fontId="0" fillId="0" borderId="1" xfId="0" applyNumberFormat="1" applyFill="1" applyBorder="1" applyAlignment="1" applyProtection="1">
      <alignment horizontal="center"/>
      <protection locked="0"/>
    </xf>
    <xf numFmtId="165" fontId="0" fillId="0" borderId="1" xfId="0" applyNumberFormat="1" applyBorder="1" applyAlignment="1" applyProtection="1">
      <alignment horizontal="center"/>
      <protection locked="0"/>
    </xf>
    <xf numFmtId="0" fontId="1" fillId="6" borderId="14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2" fontId="1" fillId="6" borderId="8" xfId="0" applyNumberFormat="1" applyFont="1" applyFill="1" applyBorder="1" applyAlignment="1">
      <alignment horizontal="center" vertical="center" wrapText="1"/>
    </xf>
    <xf numFmtId="2" fontId="1" fillId="6" borderId="9" xfId="0" applyNumberFormat="1" applyFont="1" applyFill="1" applyBorder="1" applyAlignment="1">
      <alignment horizontal="center" vertical="center" wrapText="1"/>
    </xf>
    <xf numFmtId="2" fontId="1" fillId="6" borderId="10" xfId="0" applyNumberFormat="1" applyFont="1" applyFill="1" applyBorder="1" applyAlignment="1">
      <alignment horizontal="center" vertical="center" wrapText="1"/>
    </xf>
    <xf numFmtId="2" fontId="3" fillId="6" borderId="14" xfId="0" applyNumberFormat="1" applyFont="1" applyFill="1" applyBorder="1" applyAlignment="1">
      <alignment horizontal="center" vertical="center" wrapText="1"/>
    </xf>
    <xf numFmtId="2" fontId="3" fillId="6" borderId="17" xfId="0" applyNumberFormat="1" applyFont="1" applyFill="1" applyBorder="1" applyAlignment="1">
      <alignment horizontal="center" vertical="center" wrapText="1"/>
    </xf>
    <xf numFmtId="2" fontId="3" fillId="6" borderId="18" xfId="0" applyNumberFormat="1" applyFont="1" applyFill="1" applyBorder="1" applyAlignment="1">
      <alignment horizontal="center" vertical="center" wrapText="1"/>
    </xf>
    <xf numFmtId="2" fontId="3" fillId="6" borderId="16" xfId="0" applyNumberFormat="1" applyFont="1" applyFill="1" applyBorder="1" applyAlignment="1">
      <alignment horizontal="center" vertical="center" wrapText="1"/>
    </xf>
    <xf numFmtId="0" fontId="11" fillId="10" borderId="1" xfId="0" applyFont="1" applyFill="1" applyBorder="1" applyAlignment="1" applyProtection="1">
      <alignment horizontal="center"/>
    </xf>
    <xf numFmtId="0" fontId="20" fillId="10" borderId="1" xfId="0" applyFont="1" applyFill="1" applyBorder="1" applyAlignment="1" applyProtection="1">
      <alignment horizontal="center" vertical="center"/>
    </xf>
    <xf numFmtId="0" fontId="20" fillId="10" borderId="1" xfId="0" applyFont="1" applyFill="1" applyBorder="1" applyAlignment="1" applyProtection="1">
      <alignment horizontal="center" vertical="center" wrapText="1"/>
    </xf>
    <xf numFmtId="0" fontId="10" fillId="10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top" wrapText="1"/>
    </xf>
    <xf numFmtId="0" fontId="1" fillId="9" borderId="25" xfId="0" applyFont="1" applyFill="1" applyBorder="1" applyAlignment="1" applyProtection="1">
      <alignment horizontal="center" vertical="center"/>
    </xf>
    <xf numFmtId="0" fontId="1" fillId="9" borderId="1" xfId="0" applyFont="1" applyFill="1" applyBorder="1" applyAlignment="1" applyProtection="1">
      <alignment horizontal="center" vertical="center"/>
    </xf>
    <xf numFmtId="0" fontId="1" fillId="9" borderId="27" xfId="0" applyFont="1" applyFill="1" applyBorder="1" applyAlignment="1" applyProtection="1">
      <alignment horizontal="center" vertical="center"/>
    </xf>
    <xf numFmtId="0" fontId="1" fillId="9" borderId="28" xfId="0" applyFont="1" applyFill="1" applyBorder="1" applyAlignment="1" applyProtection="1">
      <alignment horizontal="center" vertical="center"/>
    </xf>
    <xf numFmtId="0" fontId="1" fillId="10" borderId="22" xfId="0" applyFont="1" applyFill="1" applyBorder="1" applyAlignment="1" applyProtection="1">
      <alignment horizontal="center"/>
    </xf>
    <xf numFmtId="0" fontId="1" fillId="10" borderId="23" xfId="0" applyFont="1" applyFill="1" applyBorder="1" applyAlignment="1" applyProtection="1">
      <alignment horizontal="center"/>
    </xf>
    <xf numFmtId="0" fontId="1" fillId="10" borderId="24" xfId="0" applyFont="1" applyFill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 vertical="center"/>
    </xf>
    <xf numFmtId="0" fontId="14" fillId="0" borderId="26" xfId="0" applyFont="1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 wrapText="1"/>
    </xf>
    <xf numFmtId="0" fontId="0" fillId="0" borderId="43" xfId="0" applyBorder="1" applyAlignment="1" applyProtection="1">
      <alignment horizontal="center" vertical="center" wrapText="1"/>
    </xf>
    <xf numFmtId="0" fontId="14" fillId="0" borderId="1" xfId="0" applyFont="1" applyBorder="1" applyAlignment="1" applyProtection="1">
      <alignment horizontal="center" vertical="center" wrapText="1"/>
    </xf>
    <xf numFmtId="0" fontId="14" fillId="0" borderId="26" xfId="0" applyFont="1" applyBorder="1" applyAlignment="1" applyProtection="1">
      <alignment horizontal="center" vertical="center" wrapText="1"/>
    </xf>
    <xf numFmtId="0" fontId="10" fillId="11" borderId="4" xfId="0" applyFont="1" applyFill="1" applyBorder="1" applyAlignment="1" applyProtection="1">
      <alignment horizontal="center" vertical="center" wrapText="1"/>
    </xf>
    <xf numFmtId="0" fontId="10" fillId="11" borderId="19" xfId="0" applyFont="1" applyFill="1" applyBorder="1" applyAlignment="1" applyProtection="1">
      <alignment horizontal="center" vertical="center" wrapText="1"/>
    </xf>
    <xf numFmtId="0" fontId="11" fillId="10" borderId="1" xfId="0" applyFont="1" applyFill="1" applyBorder="1" applyAlignment="1" applyProtection="1">
      <alignment horizontal="center" vertical="center"/>
    </xf>
    <xf numFmtId="164" fontId="1" fillId="0" borderId="0" xfId="0" applyNumberFormat="1" applyFont="1" applyFill="1" applyBorder="1" applyAlignment="1" applyProtection="1">
      <alignment horizontal="center" vertical="center"/>
    </xf>
    <xf numFmtId="0" fontId="7" fillId="10" borderId="1" xfId="0" applyFont="1" applyFill="1" applyBorder="1" applyAlignment="1" applyProtection="1">
      <alignment horizontal="center" vertical="center" wrapText="1"/>
    </xf>
    <xf numFmtId="0" fontId="23" fillId="10" borderId="1" xfId="0" applyFont="1" applyFill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top" wrapText="1"/>
    </xf>
    <xf numFmtId="0" fontId="19" fillId="10" borderId="2" xfId="0" applyFont="1" applyFill="1" applyBorder="1" applyAlignment="1" applyProtection="1">
      <alignment horizontal="center"/>
    </xf>
    <xf numFmtId="0" fontId="19" fillId="10" borderId="21" xfId="0" applyFont="1" applyFill="1" applyBorder="1" applyAlignment="1" applyProtection="1">
      <alignment horizontal="center"/>
    </xf>
    <xf numFmtId="0" fontId="19" fillId="10" borderId="3" xfId="0" applyFont="1" applyFill="1" applyBorder="1" applyAlignment="1" applyProtection="1">
      <alignment horizontal="center"/>
    </xf>
    <xf numFmtId="0" fontId="1" fillId="0" borderId="35" xfId="0" applyFont="1" applyBorder="1" applyAlignment="1" applyProtection="1">
      <alignment horizontal="center" vertical="top" wrapText="1"/>
    </xf>
    <xf numFmtId="0" fontId="1" fillId="0" borderId="33" xfId="0" applyFont="1" applyBorder="1" applyAlignment="1" applyProtection="1">
      <alignment horizontal="center" vertical="center" wrapText="1"/>
    </xf>
    <xf numFmtId="0" fontId="18" fillId="0" borderId="30" xfId="0" applyFont="1" applyBorder="1" applyAlignment="1" applyProtection="1">
      <alignment horizontal="center" vertical="center" wrapText="1"/>
    </xf>
    <xf numFmtId="0" fontId="18" fillId="0" borderId="31" xfId="0" applyFont="1" applyBorder="1" applyAlignment="1" applyProtection="1">
      <alignment horizontal="center" vertical="center" wrapText="1"/>
    </xf>
    <xf numFmtId="0" fontId="18" fillId="0" borderId="32" xfId="0" applyFont="1" applyBorder="1" applyAlignment="1" applyProtection="1">
      <alignment horizontal="center" vertical="center" wrapText="1"/>
    </xf>
    <xf numFmtId="0" fontId="18" fillId="0" borderId="33" xfId="0" applyFont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center" vertical="center" wrapText="1"/>
    </xf>
    <xf numFmtId="0" fontId="18" fillId="0" borderId="34" xfId="0" applyFont="1" applyBorder="1" applyAlignment="1" applyProtection="1">
      <alignment horizontal="center" vertical="center" wrapText="1"/>
    </xf>
    <xf numFmtId="0" fontId="18" fillId="0" borderId="35" xfId="0" applyFont="1" applyBorder="1" applyAlignment="1" applyProtection="1">
      <alignment horizontal="center" vertical="center" wrapText="1"/>
    </xf>
    <xf numFmtId="0" fontId="18" fillId="0" borderId="36" xfId="0" applyFont="1" applyBorder="1" applyAlignment="1" applyProtection="1">
      <alignment horizontal="center" vertical="center" wrapText="1"/>
    </xf>
    <xf numFmtId="0" fontId="18" fillId="0" borderId="37" xfId="0" applyFont="1" applyBorder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/>
    </xf>
    <xf numFmtId="0" fontId="1" fillId="0" borderId="31" xfId="0" applyFont="1" applyBorder="1" applyAlignment="1" applyProtection="1">
      <alignment horizontal="center"/>
    </xf>
    <xf numFmtId="0" fontId="1" fillId="0" borderId="32" xfId="0" applyFont="1" applyBorder="1" applyAlignment="1" applyProtection="1">
      <alignment horizontal="center"/>
    </xf>
    <xf numFmtId="0" fontId="1" fillId="0" borderId="30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32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34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34" xfId="0" applyBorder="1" applyAlignment="1" applyProtection="1">
      <alignment horizontal="left" vertical="center" wrapText="1"/>
    </xf>
    <xf numFmtId="0" fontId="0" fillId="0" borderId="36" xfId="0" applyBorder="1" applyAlignment="1" applyProtection="1">
      <alignment horizontal="left" vertical="center" wrapText="1"/>
    </xf>
    <xf numFmtId="0" fontId="0" fillId="0" borderId="37" xfId="0" applyBorder="1" applyAlignment="1" applyProtection="1">
      <alignment horizontal="left" vertical="center" wrapText="1"/>
    </xf>
    <xf numFmtId="0" fontId="23" fillId="10" borderId="2" xfId="0" applyFont="1" applyFill="1" applyBorder="1" applyAlignment="1" applyProtection="1">
      <alignment horizontal="center" vertical="center"/>
    </xf>
    <xf numFmtId="0" fontId="23" fillId="10" borderId="3" xfId="0" applyFont="1" applyFill="1" applyBorder="1" applyAlignment="1" applyProtection="1">
      <alignment horizontal="center" vertical="center"/>
    </xf>
    <xf numFmtId="0" fontId="19" fillId="10" borderId="2" xfId="0" applyFont="1" applyFill="1" applyBorder="1" applyAlignment="1" applyProtection="1">
      <alignment horizontal="center" vertical="center"/>
    </xf>
    <xf numFmtId="0" fontId="19" fillId="10" borderId="21" xfId="0" applyFont="1" applyFill="1" applyBorder="1" applyAlignment="1" applyProtection="1">
      <alignment horizontal="center" vertical="center"/>
    </xf>
    <xf numFmtId="0" fontId="19" fillId="10" borderId="3" xfId="0" applyFont="1" applyFill="1" applyBorder="1" applyAlignment="1" applyProtection="1">
      <alignment horizontal="center" vertical="center"/>
    </xf>
    <xf numFmtId="0" fontId="0" fillId="0" borderId="30" xfId="0" applyFont="1" applyBorder="1" applyAlignment="1" applyProtection="1">
      <alignment horizontal="center" vertical="center" wrapText="1"/>
    </xf>
    <xf numFmtId="0" fontId="0" fillId="0" borderId="31" xfId="0" applyFont="1" applyBorder="1" applyAlignment="1" applyProtection="1">
      <alignment horizontal="center" vertical="center" wrapText="1"/>
    </xf>
    <xf numFmtId="0" fontId="0" fillId="0" borderId="32" xfId="0" applyFont="1" applyBorder="1" applyAlignment="1" applyProtection="1">
      <alignment horizontal="center" vertical="center" wrapText="1"/>
    </xf>
    <xf numFmtId="0" fontId="0" fillId="0" borderId="33" xfId="0" applyFont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center" vertical="center" wrapText="1"/>
    </xf>
    <xf numFmtId="0" fontId="0" fillId="0" borderId="34" xfId="0" applyFont="1" applyBorder="1" applyAlignment="1" applyProtection="1">
      <alignment horizontal="center" vertical="center" wrapText="1"/>
    </xf>
    <xf numFmtId="0" fontId="0" fillId="0" borderId="35" xfId="0" applyFont="1" applyBorder="1" applyAlignment="1" applyProtection="1">
      <alignment horizontal="center" vertical="center" wrapText="1"/>
    </xf>
    <xf numFmtId="0" fontId="0" fillId="0" borderId="36" xfId="0" applyFont="1" applyBorder="1" applyAlignment="1" applyProtection="1">
      <alignment horizontal="center" vertical="center" wrapText="1"/>
    </xf>
    <xf numFmtId="0" fontId="0" fillId="0" borderId="37" xfId="0" applyFont="1" applyBorder="1" applyAlignment="1" applyProtection="1">
      <alignment horizontal="center" vertical="center" wrapText="1"/>
    </xf>
    <xf numFmtId="0" fontId="1" fillId="0" borderId="35" xfId="0" applyFont="1" applyBorder="1" applyAlignment="1" applyProtection="1">
      <alignment horizontal="center" vertical="center" wrapText="1"/>
    </xf>
  </cellXfs>
  <cellStyles count="4">
    <cellStyle name="Normal" xfId="0" builtinId="0"/>
    <cellStyle name="Normal 2" xfId="1"/>
    <cellStyle name="Normal 2 2" xfId="3"/>
    <cellStyle name="Normal 3" xfId="2"/>
  </cellStyles>
  <dxfs count="2">
    <dxf>
      <font>
        <b val="0"/>
        <i val="0"/>
      </font>
      <fill>
        <patternFill>
          <bgColor rgb="FF00B050"/>
        </patternFill>
      </fill>
    </dxf>
    <dxf>
      <font>
        <b val="0"/>
        <i val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7979"/>
      <color rgb="FF04BC7F"/>
      <color rgb="FF99FF99"/>
      <color rgb="FFFFFF99"/>
      <color rgb="FF66FF66"/>
      <color rgb="FFFF99CC"/>
      <color rgb="FFFF66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12944716988909"/>
          <c:y val="3.5524375590422645E-2"/>
          <c:w val="0.87837407758585151"/>
          <c:h val="0.81945096381060445"/>
        </c:manualLayout>
      </c:layout>
      <c:scatterChart>
        <c:scatterStyle val="smoothMarker"/>
        <c:varyColors val="0"/>
        <c:ser>
          <c:idx val="0"/>
          <c:order val="0"/>
          <c:tx>
            <c:v>MB</c:v>
          </c:tx>
          <c:marker>
            <c:symbol val="circle"/>
            <c:size val="4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dese\rm\l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27-4A07-BAD9-B45CCD78D0E8}"/>
            </c:ext>
          </c:extLst>
        </c:ser>
        <c:ser>
          <c:idx val="1"/>
          <c:order val="1"/>
          <c:tx>
            <c:v>KES</c:v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</c:spPr>
          </c:marker>
          <c:dLbls>
            <c:delete val="1"/>
          </c:dLbls>
          <c:errBars>
            <c:errDir val="y"/>
            <c:errBarType val="minus"/>
            <c:errValType val="percentage"/>
            <c:noEndCap val="0"/>
            <c:val val="100"/>
            <c:spPr>
              <a:ln w="22225">
                <a:solidFill>
                  <a:srgbClr val="FF0000"/>
                </a:solidFill>
                <a:headEnd type="none" w="lg" len="lg"/>
                <a:tailEnd type="none" w="lg" len="lg"/>
              </a:ln>
            </c:spPr>
          </c:errBars>
          <c:errBars>
            <c:errDir val="x"/>
            <c:errBarType val="minus"/>
            <c:errValType val="percentage"/>
            <c:noEndCap val="0"/>
            <c:val val="100"/>
            <c:spPr>
              <a:ln w="19050" cap="sq">
                <a:solidFill>
                  <a:srgbClr val="FF0000"/>
                </a:solidFill>
                <a:headEnd type="triangle" w="sm" len="sm"/>
                <a:tailEnd type="none" w="sm" len="sm"/>
              </a:ln>
            </c:spPr>
          </c:errBars>
          <c:xVal>
            <c:numRef>
              <c:f>#REF!</c:f>
            </c:numRef>
          </c:xVal>
          <c:yVal>
            <c:numRef>
              <c:f>#REF!</c:f>
              <c:numCache>
                <c:formatCode>dese\rm\l</c:formatCode>
                <c:ptCount val="1"/>
                <c:pt idx="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627-4A07-BAD9-B45CCD78D0E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91168888"/>
        <c:axId val="191169280"/>
      </c:scatterChart>
      <c:valAx>
        <c:axId val="191168888"/>
        <c:scaling>
          <c:orientation val="minMax"/>
          <c:max val="0"/>
        </c:scaling>
        <c:delete val="0"/>
        <c:axPos val="b"/>
        <c:minorGridlines/>
        <c:numFmt formatCode="#,#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tr-TR"/>
          </a:p>
        </c:txPr>
        <c:crossAx val="191169280"/>
        <c:crosses val="autoZero"/>
        <c:crossBetween val="midCat"/>
        <c:majorUnit val="0.5"/>
      </c:valAx>
      <c:valAx>
        <c:axId val="191169280"/>
        <c:scaling>
          <c:orientation val="minMax"/>
          <c:max val="0"/>
        </c:scaling>
        <c:delete val="0"/>
        <c:axPos val="l"/>
        <c:majorGridlines/>
        <c:minorGridlines>
          <c:spPr>
            <a:ln>
              <a:noFill/>
            </a:ln>
          </c:spPr>
        </c:minorGridlines>
        <c:title>
          <c:tx>
            <c:rich>
              <a:bodyPr rot="-5400000" vert="horz"/>
              <a:lstStyle/>
              <a:p>
                <a:pPr>
                  <a:defRPr sz="1100" b="1"/>
                </a:pPr>
                <a:r>
                  <a:rPr lang="tr-TR" sz="1100" b="1"/>
                  <a:t>Kuru Birim Ağırlık (t/m</a:t>
                </a:r>
                <a:r>
                  <a:rPr lang="tr-TR" sz="1100" b="1" baseline="30000"/>
                  <a:t>3</a:t>
                </a:r>
                <a:r>
                  <a:rPr lang="tr-TR" sz="1100" b="1" baseline="0"/>
                  <a:t>)</a:t>
                </a:r>
              </a:p>
            </c:rich>
          </c:tx>
          <c:layout>
            <c:manualLayout>
              <c:xMode val="edge"/>
              <c:yMode val="edge"/>
              <c:x val="6.3146033447389754E-3"/>
              <c:y val="0.28210814824550223"/>
            </c:manualLayout>
          </c:layout>
          <c:overlay val="0"/>
        </c:title>
        <c:numFmt formatCode="dese\rm\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tr-TR"/>
          </a:p>
        </c:txPr>
        <c:crossAx val="191168888"/>
        <c:crosses val="autoZero"/>
        <c:crossBetween val="midCat"/>
        <c:majorUnit val="0.05"/>
      </c:valAx>
    </c:plotArea>
    <c:plotVisOnly val="1"/>
    <c:dispBlanksAs val="gap"/>
    <c:showDLblsOverMax val="0"/>
  </c:chart>
  <c:txPr>
    <a:bodyPr/>
    <a:lstStyle/>
    <a:p>
      <a:pPr>
        <a:defRPr b="0"/>
      </a:pPr>
      <a:endParaRPr lang="tr-TR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82170510755897E-2"/>
          <c:y val="2.6303869934618088E-2"/>
          <c:w val="0.94346474670763181"/>
          <c:h val="0.91434424822740545"/>
        </c:manualLayout>
      </c:layout>
      <c:scatterChart>
        <c:scatterStyle val="smoothMarker"/>
        <c:varyColors val="0"/>
        <c:ser>
          <c:idx val="0"/>
          <c:order val="0"/>
          <c:tx>
            <c:v>Orijinal Veri</c:v>
          </c:tx>
          <c:spPr>
            <a:ln w="41275" cap="flat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34925" cap="flat" cmpd="dbl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ANALITIK!$C$5:$C$15</c:f>
              <c:numCache>
                <c:formatCode>0.000</c:formatCode>
                <c:ptCount val="11"/>
                <c:pt idx="0">
                  <c:v>75</c:v>
                </c:pt>
                <c:pt idx="1">
                  <c:v>50</c:v>
                </c:pt>
                <c:pt idx="2">
                  <c:v>37.5</c:v>
                </c:pt>
                <c:pt idx="3">
                  <c:v>25</c:v>
                </c:pt>
                <c:pt idx="4">
                  <c:v>19</c:v>
                </c:pt>
                <c:pt idx="5">
                  <c:v>12.5</c:v>
                </c:pt>
                <c:pt idx="6">
                  <c:v>4.75</c:v>
                </c:pt>
                <c:pt idx="7">
                  <c:v>2</c:v>
                </c:pt>
                <c:pt idx="8">
                  <c:v>0.6</c:v>
                </c:pt>
                <c:pt idx="9">
                  <c:v>7.4999999999999997E-2</c:v>
                </c:pt>
              </c:numCache>
            </c:numRef>
          </c:xVal>
          <c:yVal>
            <c:numRef>
              <c:f>ANALITIK!$D$5:$D$15</c:f>
              <c:numCache>
                <c:formatCode>General</c:formatCode>
                <c:ptCount val="11"/>
                <c:pt idx="0">
                  <c:v>100</c:v>
                </c:pt>
                <c:pt idx="1">
                  <c:v>91</c:v>
                </c:pt>
                <c:pt idx="2">
                  <c:v>86</c:v>
                </c:pt>
                <c:pt idx="3">
                  <c:v>79</c:v>
                </c:pt>
                <c:pt idx="4">
                  <c:v>71</c:v>
                </c:pt>
                <c:pt idx="5">
                  <c:v>47</c:v>
                </c:pt>
                <c:pt idx="6">
                  <c:v>32</c:v>
                </c:pt>
                <c:pt idx="7">
                  <c:v>21</c:v>
                </c:pt>
                <c:pt idx="8">
                  <c:v>13</c:v>
                </c:pt>
                <c:pt idx="9">
                  <c:v>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4-47D8-8F64-D0CC427457F2}"/>
            </c:ext>
          </c:extLst>
        </c:ser>
        <c:ser>
          <c:idx val="1"/>
          <c:order val="1"/>
          <c:tx>
            <c:v>Hesaplanan Veri</c:v>
          </c:tx>
          <c:spPr>
            <a:ln w="47625" cap="flat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34925" cap="flat" cmpd="dbl" algn="ctr">
                <a:solidFill>
                  <a:schemeClr val="accent2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ANALITIK!$K$5:$K$57</c:f>
              <c:numCache>
                <c:formatCode>0</c:formatCode>
                <c:ptCount val="53"/>
                <c:pt idx="0">
                  <c:v>125</c:v>
                </c:pt>
                <c:pt idx="1">
                  <c:v>106</c:v>
                </c:pt>
                <c:pt idx="2">
                  <c:v>100</c:v>
                </c:pt>
                <c:pt idx="3">
                  <c:v>90</c:v>
                </c:pt>
                <c:pt idx="4">
                  <c:v>75</c:v>
                </c:pt>
                <c:pt idx="5">
                  <c:v>63</c:v>
                </c:pt>
                <c:pt idx="6">
                  <c:v>53</c:v>
                </c:pt>
                <c:pt idx="7">
                  <c:v>50</c:v>
                </c:pt>
                <c:pt idx="8">
                  <c:v>45</c:v>
                </c:pt>
                <c:pt idx="9" formatCode="0.0">
                  <c:v>37.5</c:v>
                </c:pt>
                <c:pt idx="10" formatCode="0.0">
                  <c:v>31.5</c:v>
                </c:pt>
                <c:pt idx="11">
                  <c:v>25</c:v>
                </c:pt>
                <c:pt idx="12" formatCode="0.0">
                  <c:v>22.4</c:v>
                </c:pt>
                <c:pt idx="13">
                  <c:v>19</c:v>
                </c:pt>
                <c:pt idx="14">
                  <c:v>16</c:v>
                </c:pt>
                <c:pt idx="15" formatCode="0.0">
                  <c:v>12.5</c:v>
                </c:pt>
                <c:pt idx="16" formatCode="0.0">
                  <c:v>11.2</c:v>
                </c:pt>
                <c:pt idx="17" formatCode="0.0">
                  <c:v>9.5</c:v>
                </c:pt>
                <c:pt idx="18" formatCode="0.0">
                  <c:v>8</c:v>
                </c:pt>
                <c:pt idx="19" formatCode="0.00">
                  <c:v>6.35</c:v>
                </c:pt>
                <c:pt idx="20" formatCode="0.0">
                  <c:v>5.6</c:v>
                </c:pt>
                <c:pt idx="21" formatCode="0.00">
                  <c:v>4.75</c:v>
                </c:pt>
                <c:pt idx="22" formatCode="0.00">
                  <c:v>4</c:v>
                </c:pt>
                <c:pt idx="23" formatCode="0.00">
                  <c:v>3.35</c:v>
                </c:pt>
                <c:pt idx="24" formatCode="0.00">
                  <c:v>2.8</c:v>
                </c:pt>
                <c:pt idx="25" formatCode="0.00">
                  <c:v>2.36</c:v>
                </c:pt>
                <c:pt idx="26" formatCode="0.00">
                  <c:v>2</c:v>
                </c:pt>
                <c:pt idx="27" formatCode="0.00">
                  <c:v>1.7</c:v>
                </c:pt>
                <c:pt idx="28" formatCode="0.00">
                  <c:v>1.4</c:v>
                </c:pt>
                <c:pt idx="29" formatCode="0.00">
                  <c:v>1.18</c:v>
                </c:pt>
                <c:pt idx="30" formatCode="0.00">
                  <c:v>1</c:v>
                </c:pt>
                <c:pt idx="31" formatCode="0.000">
                  <c:v>0.85</c:v>
                </c:pt>
                <c:pt idx="32" formatCode="0.000">
                  <c:v>0.71</c:v>
                </c:pt>
                <c:pt idx="33" formatCode="0.000">
                  <c:v>0.6</c:v>
                </c:pt>
                <c:pt idx="34" formatCode="0.000">
                  <c:v>0.5</c:v>
                </c:pt>
                <c:pt idx="35" formatCode="0.000">
                  <c:v>0.42499999999999999</c:v>
                </c:pt>
                <c:pt idx="36" formatCode="0.000">
                  <c:v>0.35499999999999998</c:v>
                </c:pt>
                <c:pt idx="37" formatCode="0.000">
                  <c:v>0.3</c:v>
                </c:pt>
                <c:pt idx="38" formatCode="0.000">
                  <c:v>0.25</c:v>
                </c:pt>
                <c:pt idx="39" formatCode="0.000">
                  <c:v>0.21199999999999999</c:v>
                </c:pt>
                <c:pt idx="40" formatCode="0.000">
                  <c:v>0.18</c:v>
                </c:pt>
                <c:pt idx="41" formatCode="0.000">
                  <c:v>0.15</c:v>
                </c:pt>
                <c:pt idx="42" formatCode="0.000">
                  <c:v>0.125</c:v>
                </c:pt>
                <c:pt idx="43" formatCode="0.000">
                  <c:v>0.106</c:v>
                </c:pt>
                <c:pt idx="44" formatCode="0.000">
                  <c:v>0.09</c:v>
                </c:pt>
                <c:pt idx="45" formatCode="0.000">
                  <c:v>7.4999999999999997E-2</c:v>
                </c:pt>
                <c:pt idx="46" formatCode="0.000">
                  <c:v>6.3E-2</c:v>
                </c:pt>
                <c:pt idx="47" formatCode="0.000">
                  <c:v>5.2999999999999999E-2</c:v>
                </c:pt>
                <c:pt idx="48" formatCode="0.000">
                  <c:v>4.4999999999999998E-2</c:v>
                </c:pt>
                <c:pt idx="49" formatCode="0.000">
                  <c:v>3.7999999999999999E-2</c:v>
                </c:pt>
                <c:pt idx="50" formatCode="0.000">
                  <c:v>3.2000000000000001E-2</c:v>
                </c:pt>
                <c:pt idx="51" formatCode="0.000">
                  <c:v>2.5000000000000001E-2</c:v>
                </c:pt>
                <c:pt idx="52" formatCode="0.000">
                  <c:v>0.02</c:v>
                </c:pt>
              </c:numCache>
            </c:numRef>
          </c:xVal>
          <c:yVal>
            <c:numRef>
              <c:f>ANALITIK!$L$5:$L$57</c:f>
              <c:numCache>
                <c:formatCode>0.0</c:formatCode>
                <c:ptCount val="5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100</c:v>
                </c:pt>
                <c:pt idx="5">
                  <c:v>95.68</c:v>
                </c:pt>
                <c:pt idx="6">
                  <c:v>92.08</c:v>
                </c:pt>
                <c:pt idx="7">
                  <c:v>91</c:v>
                </c:pt>
                <c:pt idx="8">
                  <c:v>89</c:v>
                </c:pt>
                <c:pt idx="9">
                  <c:v>86</c:v>
                </c:pt>
                <c:pt idx="10">
                  <c:v>82.64</c:v>
                </c:pt>
                <c:pt idx="11">
                  <c:v>79</c:v>
                </c:pt>
                <c:pt idx="12">
                  <c:v>75.533333333333331</c:v>
                </c:pt>
                <c:pt idx="13">
                  <c:v>71</c:v>
                </c:pt>
                <c:pt idx="14">
                  <c:v>59.92307692307692</c:v>
                </c:pt>
                <c:pt idx="15">
                  <c:v>47</c:v>
                </c:pt>
                <c:pt idx="16">
                  <c:v>44.483870967741936</c:v>
                </c:pt>
                <c:pt idx="17">
                  <c:v>41.193548387096776</c:v>
                </c:pt>
                <c:pt idx="18">
                  <c:v>38.29032258064516</c:v>
                </c:pt>
                <c:pt idx="19">
                  <c:v>35.096774193548384</c:v>
                </c:pt>
                <c:pt idx="20">
                  <c:v>33.645161290322577</c:v>
                </c:pt>
                <c:pt idx="21">
                  <c:v>32</c:v>
                </c:pt>
                <c:pt idx="22" formatCode="0.00">
                  <c:v>29</c:v>
                </c:pt>
                <c:pt idx="23" formatCode="0.00">
                  <c:v>26.4</c:v>
                </c:pt>
                <c:pt idx="24" formatCode="0.00">
                  <c:v>24.2</c:v>
                </c:pt>
                <c:pt idx="25" formatCode="0.00">
                  <c:v>22.439999999999998</c:v>
                </c:pt>
                <c:pt idx="26" formatCode="0.00">
                  <c:v>21</c:v>
                </c:pt>
                <c:pt idx="27" formatCode="0.00">
                  <c:v>19.285714285714285</c:v>
                </c:pt>
                <c:pt idx="28" formatCode="0.00">
                  <c:v>17.571428571428569</c:v>
                </c:pt>
                <c:pt idx="29" formatCode="0.00">
                  <c:v>16.314285714285713</c:v>
                </c:pt>
                <c:pt idx="30" formatCode="0.00">
                  <c:v>15.285714285714286</c:v>
                </c:pt>
                <c:pt idx="31" formatCode="0.00">
                  <c:v>14.428571428571429</c:v>
                </c:pt>
                <c:pt idx="32" formatCode="0.00">
                  <c:v>13.628571428571428</c:v>
                </c:pt>
                <c:pt idx="33" formatCode="0.00">
                  <c:v>13</c:v>
                </c:pt>
                <c:pt idx="34" formatCode="0.00">
                  <c:v>11.476190476190474</c:v>
                </c:pt>
                <c:pt idx="35" formatCode="0.00">
                  <c:v>10.333333333333332</c:v>
                </c:pt>
                <c:pt idx="36" formatCode="0.00">
                  <c:v>9.2666666666666657</c:v>
                </c:pt>
                <c:pt idx="37" formatCode="0.00">
                  <c:v>8.428571428571427</c:v>
                </c:pt>
                <c:pt idx="38" formatCode="0.00">
                  <c:v>7.6666666666666661</c:v>
                </c:pt>
                <c:pt idx="39" formatCode="0.00">
                  <c:v>7.0876190476190475</c:v>
                </c:pt>
                <c:pt idx="40" formatCode="0.00">
                  <c:v>6.6</c:v>
                </c:pt>
                <c:pt idx="41" formatCode="0.00">
                  <c:v>6.1428571428571423</c:v>
                </c:pt>
                <c:pt idx="42" formatCode="0.00">
                  <c:v>5.7619047619047619</c:v>
                </c:pt>
                <c:pt idx="43" formatCode="0.00">
                  <c:v>5.4723809523809521</c:v>
                </c:pt>
                <c:pt idx="44" formatCode="0.00">
                  <c:v>5.2285714285714286</c:v>
                </c:pt>
                <c:pt idx="45" formatCode="0.00">
                  <c:v>5</c:v>
                </c:pt>
                <c:pt idx="46" formatCode="0.000">
                  <c:v>4.2</c:v>
                </c:pt>
                <c:pt idx="47" formatCode="0.000">
                  <c:v>3.5333333333333337</c:v>
                </c:pt>
                <c:pt idx="48" formatCode="0.000">
                  <c:v>3</c:v>
                </c:pt>
                <c:pt idx="49" formatCode="0.000">
                  <c:v>2.5333333333333337</c:v>
                </c:pt>
                <c:pt idx="50" formatCode="0.000">
                  <c:v>2.1333333333333337</c:v>
                </c:pt>
                <c:pt idx="51" formatCode="0.000">
                  <c:v>1.666666666666667</c:v>
                </c:pt>
                <c:pt idx="52" formatCode="0.000">
                  <c:v>1.3333333333333335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434-47D8-8F64-D0CC42745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70064"/>
        <c:axId val="191170456"/>
      </c:scatterChart>
      <c:valAx>
        <c:axId val="191170064"/>
        <c:scaling>
          <c:logBase val="10"/>
          <c:orientation val="minMax"/>
          <c:max val="130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5000"/>
                </a:schemeClr>
              </a:solidFill>
              <a:round/>
            </a:ln>
            <a:effectLst/>
          </c:spPr>
        </c:minorGridlines>
        <c:numFmt formatCode="@" sourceLinked="0"/>
        <c:majorTickMark val="in"/>
        <c:minorTickMark val="in"/>
        <c:tickLblPos val="low"/>
        <c:spPr>
          <a:noFill/>
          <a:ln>
            <a:solidFill>
              <a:schemeClr val="accent2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tr-TR"/>
          </a:p>
        </c:txPr>
        <c:crossAx val="191170456"/>
        <c:crosses val="autoZero"/>
        <c:crossBetween val="midCat"/>
        <c:majorUnit val="10"/>
        <c:minorUnit val="10"/>
      </c:valAx>
      <c:valAx>
        <c:axId val="1911704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50000"/>
                </a:schemeClr>
              </a:solidFill>
              <a:round/>
            </a:ln>
            <a:effectLst/>
          </c:spPr>
        </c:majorGridlines>
        <c:minorGridlines>
          <c:spPr>
            <a:ln w="22225" cap="flat" cmpd="tri" algn="ctr">
              <a:solidFill>
                <a:schemeClr val="bg2"/>
              </a:solidFill>
              <a:prstDash val="sysDot"/>
              <a:round/>
            </a:ln>
            <a:effectLst/>
          </c:spPr>
        </c:minorGridlines>
        <c:numFmt formatCode="General" sourceLinked="1"/>
        <c:majorTickMark val="in"/>
        <c:minorTickMark val="in"/>
        <c:tickLblPos val="nextTo"/>
        <c:spPr>
          <a:noFill/>
          <a:ln w="9525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tr-TR"/>
          </a:p>
        </c:txPr>
        <c:crossAx val="191170064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7577379438251785E-2"/>
          <c:y val="4.908479579818404E-2"/>
          <c:w val="0.18963752971021947"/>
          <c:h val="0.13721838902786651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tr-TR"/>
        </a:p>
      </c:txPr>
    </c:legend>
    <c:plotVisOnly val="1"/>
    <c:dispBlanksAs val="gap"/>
    <c:showDLblsOverMax val="0"/>
  </c:chart>
  <c:spPr>
    <a:solidFill>
      <a:schemeClr val="lt1"/>
    </a:solidFill>
    <a:ln w="635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82170510755897E-2"/>
          <c:y val="2.6303869934618088E-2"/>
          <c:w val="0.92614841933809"/>
          <c:h val="0.91434424822740545"/>
        </c:manualLayout>
      </c:layout>
      <c:scatterChart>
        <c:scatterStyle val="smoothMarker"/>
        <c:varyColors val="0"/>
        <c:ser>
          <c:idx val="2"/>
          <c:order val="0"/>
          <c:tx>
            <c:v>Hata </c:v>
          </c:tx>
          <c:spPr>
            <a:ln w="28575">
              <a:solidFill>
                <a:srgbClr val="FF0000">
                  <a:alpha val="20000"/>
                </a:srgbClr>
              </a:solidFill>
            </a:ln>
          </c:spPr>
          <c:marker>
            <c:symbol val="none"/>
          </c:marker>
          <c:xVal>
            <c:numRef>
              <c:f>UNIMODAL!$M$5:$M$57</c:f>
              <c:numCache>
                <c:formatCode>0</c:formatCode>
                <c:ptCount val="53"/>
                <c:pt idx="0">
                  <c:v>125</c:v>
                </c:pt>
                <c:pt idx="1">
                  <c:v>106</c:v>
                </c:pt>
                <c:pt idx="2">
                  <c:v>100</c:v>
                </c:pt>
                <c:pt idx="3">
                  <c:v>90</c:v>
                </c:pt>
                <c:pt idx="4">
                  <c:v>75</c:v>
                </c:pt>
                <c:pt idx="5">
                  <c:v>63</c:v>
                </c:pt>
                <c:pt idx="6">
                  <c:v>53</c:v>
                </c:pt>
                <c:pt idx="7">
                  <c:v>50</c:v>
                </c:pt>
                <c:pt idx="8">
                  <c:v>45</c:v>
                </c:pt>
                <c:pt idx="9" formatCode="0.0">
                  <c:v>37.5</c:v>
                </c:pt>
                <c:pt idx="10" formatCode="0.0">
                  <c:v>31.5</c:v>
                </c:pt>
                <c:pt idx="11">
                  <c:v>25</c:v>
                </c:pt>
                <c:pt idx="12" formatCode="0.0">
                  <c:v>22.4</c:v>
                </c:pt>
                <c:pt idx="13">
                  <c:v>19</c:v>
                </c:pt>
                <c:pt idx="14">
                  <c:v>16</c:v>
                </c:pt>
                <c:pt idx="15" formatCode="0.0">
                  <c:v>12.5</c:v>
                </c:pt>
                <c:pt idx="16" formatCode="0.0">
                  <c:v>11.2</c:v>
                </c:pt>
                <c:pt idx="17" formatCode="0.0">
                  <c:v>9.5</c:v>
                </c:pt>
                <c:pt idx="18" formatCode="0.0">
                  <c:v>8</c:v>
                </c:pt>
                <c:pt idx="19" formatCode="0.0">
                  <c:v>6.35</c:v>
                </c:pt>
                <c:pt idx="20" formatCode="0.0">
                  <c:v>5.6</c:v>
                </c:pt>
                <c:pt idx="21" formatCode="0.00">
                  <c:v>4.75</c:v>
                </c:pt>
                <c:pt idx="22" formatCode="0.00">
                  <c:v>4</c:v>
                </c:pt>
                <c:pt idx="23" formatCode="0.00">
                  <c:v>3.35</c:v>
                </c:pt>
                <c:pt idx="24" formatCode="0.00">
                  <c:v>2.8</c:v>
                </c:pt>
                <c:pt idx="25" formatCode="0.00">
                  <c:v>2.36</c:v>
                </c:pt>
                <c:pt idx="26" formatCode="0.00">
                  <c:v>2</c:v>
                </c:pt>
                <c:pt idx="27" formatCode="0.00">
                  <c:v>1.7</c:v>
                </c:pt>
                <c:pt idx="28" formatCode="0.00">
                  <c:v>1.4</c:v>
                </c:pt>
                <c:pt idx="29" formatCode="0.00">
                  <c:v>1.18</c:v>
                </c:pt>
                <c:pt idx="30" formatCode="0.00">
                  <c:v>1</c:v>
                </c:pt>
                <c:pt idx="31" formatCode="0.000">
                  <c:v>0.85</c:v>
                </c:pt>
                <c:pt idx="32" formatCode="0.000">
                  <c:v>0.71</c:v>
                </c:pt>
                <c:pt idx="33" formatCode="0.000">
                  <c:v>0.6</c:v>
                </c:pt>
                <c:pt idx="34" formatCode="0.000">
                  <c:v>0.5</c:v>
                </c:pt>
                <c:pt idx="35" formatCode="0.000">
                  <c:v>0.42499999999999999</c:v>
                </c:pt>
                <c:pt idx="36" formatCode="0.000">
                  <c:v>0.35499999999999998</c:v>
                </c:pt>
                <c:pt idx="37" formatCode="0.000">
                  <c:v>0.3</c:v>
                </c:pt>
                <c:pt idx="38" formatCode="0.000">
                  <c:v>0.25</c:v>
                </c:pt>
                <c:pt idx="39" formatCode="0.000">
                  <c:v>0.21199999999999999</c:v>
                </c:pt>
                <c:pt idx="40" formatCode="0.000">
                  <c:v>0.18</c:v>
                </c:pt>
                <c:pt idx="41" formatCode="0.000">
                  <c:v>0.15</c:v>
                </c:pt>
                <c:pt idx="42" formatCode="0.000">
                  <c:v>0.125</c:v>
                </c:pt>
                <c:pt idx="43" formatCode="0.000">
                  <c:v>0.106</c:v>
                </c:pt>
                <c:pt idx="44" formatCode="0.000">
                  <c:v>0.09</c:v>
                </c:pt>
                <c:pt idx="45" formatCode="0.000">
                  <c:v>7.4999999999999997E-2</c:v>
                </c:pt>
                <c:pt idx="46" formatCode="0.000">
                  <c:v>6.3E-2</c:v>
                </c:pt>
                <c:pt idx="47" formatCode="0.000">
                  <c:v>5.2999999999999999E-2</c:v>
                </c:pt>
                <c:pt idx="48" formatCode="0.000">
                  <c:v>4.4999999999999998E-2</c:v>
                </c:pt>
                <c:pt idx="49" formatCode="0.000">
                  <c:v>3.7999999999999999E-2</c:v>
                </c:pt>
                <c:pt idx="50" formatCode="0.000">
                  <c:v>3.2000000000000001E-2</c:v>
                </c:pt>
                <c:pt idx="51" formatCode="0.000">
                  <c:v>2.5000000000000001E-2</c:v>
                </c:pt>
                <c:pt idx="52" formatCode="0.000">
                  <c:v>0.02</c:v>
                </c:pt>
              </c:numCache>
            </c:numRef>
          </c:xVal>
          <c:yVal>
            <c:numRef>
              <c:f>UNIMODAL!$P$5:$P$57</c:f>
              <c:numCache>
                <c:formatCode>0.000</c:formatCode>
                <c:ptCount val="53"/>
                <c:pt idx="0">
                  <c:v>2.6768368554401677E-5</c:v>
                </c:pt>
                <c:pt idx="1">
                  <c:v>6.350082400722435E-5</c:v>
                </c:pt>
                <c:pt idx="2">
                  <c:v>8.5350938785159962E-5</c:v>
                </c:pt>
                <c:pt idx="3">
                  <c:v>1.439351668484105E-4</c:v>
                </c:pt>
                <c:pt idx="4">
                  <c:v>3.4335413690282348E-4</c:v>
                </c:pt>
                <c:pt idx="5">
                  <c:v>7.5941534321473532E-4</c:v>
                </c:pt>
                <c:pt idx="6">
                  <c:v>1.6201493388286921E-3</c:v>
                </c:pt>
                <c:pt idx="7">
                  <c:v>2.083138114760135E-3</c:v>
                </c:pt>
                <c:pt idx="8">
                  <c:v>3.2826525286909465E-3</c:v>
                </c:pt>
                <c:pt idx="9">
                  <c:v>7.5167468330115221E-3</c:v>
                </c:pt>
                <c:pt idx="10">
                  <c:v>2.0213460389709115E-2</c:v>
                </c:pt>
                <c:pt idx="11">
                  <c:v>0.17383922031283611</c:v>
                </c:pt>
                <c:pt idx="12">
                  <c:v>75.584847627502199</c:v>
                </c:pt>
                <c:pt idx="13">
                  <c:v>357.55348686216797</c:v>
                </c:pt>
                <c:pt idx="14">
                  <c:v>435.18610678177481</c:v>
                </c:pt>
                <c:pt idx="15">
                  <c:v>2.2582789074125881E-4</c:v>
                </c:pt>
                <c:pt idx="16">
                  <c:v>66.381965768329792</c:v>
                </c:pt>
                <c:pt idx="17">
                  <c:v>182.74311861824731</c:v>
                </c:pt>
                <c:pt idx="18">
                  <c:v>197.11636477797342</c:v>
                </c:pt>
                <c:pt idx="19">
                  <c:v>142.66426860115965</c:v>
                </c:pt>
                <c:pt idx="20">
                  <c:v>108.81442090776184</c:v>
                </c:pt>
                <c:pt idx="21">
                  <c:v>71.211041920691372</c:v>
                </c:pt>
                <c:pt idx="22">
                  <c:v>42.253101311397437</c:v>
                </c:pt>
                <c:pt idx="23">
                  <c:v>22.31489218081828</c:v>
                </c:pt>
                <c:pt idx="24">
                  <c:v>10.083339954123241</c:v>
                </c:pt>
                <c:pt idx="25">
                  <c:v>3.695823282463071</c:v>
                </c:pt>
                <c:pt idx="26">
                  <c:v>0.8086419018532196</c:v>
                </c:pt>
                <c:pt idx="27">
                  <c:v>0.10801152416341762</c:v>
                </c:pt>
                <c:pt idx="28">
                  <c:v>4.8677818913422662E-2</c:v>
                </c:pt>
                <c:pt idx="29">
                  <c:v>0.35943401007127429</c:v>
                </c:pt>
                <c:pt idx="30">
                  <c:v>0.78342720826246537</c:v>
                </c:pt>
                <c:pt idx="31">
                  <c:v>1.2048344697899329</c:v>
                </c:pt>
                <c:pt idx="32">
                  <c:v>1.5996532374999548</c:v>
                </c:pt>
                <c:pt idx="33">
                  <c:v>1.8623407143123238</c:v>
                </c:pt>
                <c:pt idx="34">
                  <c:v>1.5696996685311433</c:v>
                </c:pt>
                <c:pt idx="35">
                  <c:v>1.2901709434694426</c:v>
                </c:pt>
                <c:pt idx="36">
                  <c:v>0.97703766109732326</c:v>
                </c:pt>
                <c:pt idx="37">
                  <c:v>0.69641073470314208</c:v>
                </c:pt>
                <c:pt idx="38">
                  <c:v>0.42372942216556486</c:v>
                </c:pt>
                <c:pt idx="39">
                  <c:v>0.22108869073966997</c:v>
                </c:pt>
                <c:pt idx="40">
                  <c:v>7.6768311379955448E-2</c:v>
                </c:pt>
                <c:pt idx="41">
                  <c:v>2.0811280245170592E-3</c:v>
                </c:pt>
                <c:pt idx="42">
                  <c:v>4.1346148191904408E-2</c:v>
                </c:pt>
                <c:pt idx="43">
                  <c:v>0.19717252614589223</c:v>
                </c:pt>
                <c:pt idx="44">
                  <c:v>0.48740855713389414</c:v>
                </c:pt>
                <c:pt idx="45">
                  <c:v>1</c:v>
                </c:pt>
                <c:pt idx="46">
                  <c:v>1.3712063459348522</c:v>
                </c:pt>
                <c:pt idx="47">
                  <c:v>1.9101097857601756</c:v>
                </c:pt>
                <c:pt idx="48">
                  <c:v>2.6180299212268028</c:v>
                </c:pt>
                <c:pt idx="49">
                  <c:v>3.599879124668687</c:v>
                </c:pt>
                <c:pt idx="50">
                  <c:v>4.9160182469707214</c:v>
                </c:pt>
                <c:pt idx="51">
                  <c:v>7.5035084176136833</c:v>
                </c:pt>
                <c:pt idx="52">
                  <c:v>10.72311906170826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EC9-4755-AB33-4845FE4BAD97}"/>
            </c:ext>
          </c:extLst>
        </c:ser>
        <c:ser>
          <c:idx val="0"/>
          <c:order val="1"/>
          <c:tx>
            <c:v>ORJİNAL VERİ</c:v>
          </c:tx>
          <c:spPr>
            <a:ln w="41275" cap="flat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34925" cap="flat" cmpd="dbl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UNIMODAL!$C$5:$C$15</c:f>
              <c:numCache>
                <c:formatCode>0.000</c:formatCode>
                <c:ptCount val="11"/>
                <c:pt idx="0">
                  <c:v>125</c:v>
                </c:pt>
                <c:pt idx="1">
                  <c:v>75</c:v>
                </c:pt>
                <c:pt idx="2">
                  <c:v>90</c:v>
                </c:pt>
                <c:pt idx="3">
                  <c:v>50</c:v>
                </c:pt>
                <c:pt idx="4">
                  <c:v>45</c:v>
                </c:pt>
                <c:pt idx="5">
                  <c:v>37.5</c:v>
                </c:pt>
                <c:pt idx="6">
                  <c:v>25</c:v>
                </c:pt>
                <c:pt idx="7">
                  <c:v>12.5</c:v>
                </c:pt>
                <c:pt idx="8">
                  <c:v>2</c:v>
                </c:pt>
                <c:pt idx="9">
                  <c:v>0.6</c:v>
                </c:pt>
                <c:pt idx="10">
                  <c:v>7.4999999999999997E-2</c:v>
                </c:pt>
              </c:numCache>
            </c:numRef>
          </c:xVal>
          <c:yVal>
            <c:numRef>
              <c:f>UNIMODAL!$D$5:$D$15</c:f>
              <c:numCache>
                <c:formatCode>0</c:formatCode>
                <c:ptCount val="1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54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EC9-4755-AB33-4845FE4BAD97}"/>
            </c:ext>
          </c:extLst>
        </c:ser>
        <c:ser>
          <c:idx val="1"/>
          <c:order val="2"/>
          <c:tx>
            <c:v>UNIMODAL VERI</c:v>
          </c:tx>
          <c:marker>
            <c:symbol val="square"/>
            <c:size val="4"/>
          </c:marker>
          <c:xVal>
            <c:numRef>
              <c:f>UNIMODAL!$M$5:$M$57</c:f>
              <c:numCache>
                <c:formatCode>0</c:formatCode>
                <c:ptCount val="53"/>
                <c:pt idx="0">
                  <c:v>125</c:v>
                </c:pt>
                <c:pt idx="1">
                  <c:v>106</c:v>
                </c:pt>
                <c:pt idx="2">
                  <c:v>100</c:v>
                </c:pt>
                <c:pt idx="3">
                  <c:v>90</c:v>
                </c:pt>
                <c:pt idx="4">
                  <c:v>75</c:v>
                </c:pt>
                <c:pt idx="5">
                  <c:v>63</c:v>
                </c:pt>
                <c:pt idx="6">
                  <c:v>53</c:v>
                </c:pt>
                <c:pt idx="7">
                  <c:v>50</c:v>
                </c:pt>
                <c:pt idx="8">
                  <c:v>45</c:v>
                </c:pt>
                <c:pt idx="9" formatCode="0.0">
                  <c:v>37.5</c:v>
                </c:pt>
                <c:pt idx="10" formatCode="0.0">
                  <c:v>31.5</c:v>
                </c:pt>
                <c:pt idx="11">
                  <c:v>25</c:v>
                </c:pt>
                <c:pt idx="12" formatCode="0.0">
                  <c:v>22.4</c:v>
                </c:pt>
                <c:pt idx="13">
                  <c:v>19</c:v>
                </c:pt>
                <c:pt idx="14">
                  <c:v>16</c:v>
                </c:pt>
                <c:pt idx="15" formatCode="0.0">
                  <c:v>12.5</c:v>
                </c:pt>
                <c:pt idx="16" formatCode="0.0">
                  <c:v>11.2</c:v>
                </c:pt>
                <c:pt idx="17" formatCode="0.0">
                  <c:v>9.5</c:v>
                </c:pt>
                <c:pt idx="18" formatCode="0.0">
                  <c:v>8</c:v>
                </c:pt>
                <c:pt idx="19" formatCode="0.0">
                  <c:v>6.35</c:v>
                </c:pt>
                <c:pt idx="20" formatCode="0.0">
                  <c:v>5.6</c:v>
                </c:pt>
                <c:pt idx="21" formatCode="0.00">
                  <c:v>4.75</c:v>
                </c:pt>
                <c:pt idx="22" formatCode="0.00">
                  <c:v>4</c:v>
                </c:pt>
                <c:pt idx="23" formatCode="0.00">
                  <c:v>3.35</c:v>
                </c:pt>
                <c:pt idx="24" formatCode="0.00">
                  <c:v>2.8</c:v>
                </c:pt>
                <c:pt idx="25" formatCode="0.00">
                  <c:v>2.36</c:v>
                </c:pt>
                <c:pt idx="26" formatCode="0.00">
                  <c:v>2</c:v>
                </c:pt>
                <c:pt idx="27" formatCode="0.00">
                  <c:v>1.7</c:v>
                </c:pt>
                <c:pt idx="28" formatCode="0.00">
                  <c:v>1.4</c:v>
                </c:pt>
                <c:pt idx="29" formatCode="0.00">
                  <c:v>1.18</c:v>
                </c:pt>
                <c:pt idx="30" formatCode="0.00">
                  <c:v>1</c:v>
                </c:pt>
                <c:pt idx="31" formatCode="0.000">
                  <c:v>0.85</c:v>
                </c:pt>
                <c:pt idx="32" formatCode="0.000">
                  <c:v>0.71</c:v>
                </c:pt>
                <c:pt idx="33" formatCode="0.000">
                  <c:v>0.6</c:v>
                </c:pt>
                <c:pt idx="34" formatCode="0.000">
                  <c:v>0.5</c:v>
                </c:pt>
                <c:pt idx="35" formatCode="0.000">
                  <c:v>0.42499999999999999</c:v>
                </c:pt>
                <c:pt idx="36" formatCode="0.000">
                  <c:v>0.35499999999999998</c:v>
                </c:pt>
                <c:pt idx="37" formatCode="0.000">
                  <c:v>0.3</c:v>
                </c:pt>
                <c:pt idx="38" formatCode="0.000">
                  <c:v>0.25</c:v>
                </c:pt>
                <c:pt idx="39" formatCode="0.000">
                  <c:v>0.21199999999999999</c:v>
                </c:pt>
                <c:pt idx="40" formatCode="0.000">
                  <c:v>0.18</c:v>
                </c:pt>
                <c:pt idx="41" formatCode="0.000">
                  <c:v>0.15</c:v>
                </c:pt>
                <c:pt idx="42" formatCode="0.000">
                  <c:v>0.125</c:v>
                </c:pt>
                <c:pt idx="43" formatCode="0.000">
                  <c:v>0.106</c:v>
                </c:pt>
                <c:pt idx="44" formatCode="0.000">
                  <c:v>0.09</c:v>
                </c:pt>
                <c:pt idx="45" formatCode="0.000">
                  <c:v>7.4999999999999997E-2</c:v>
                </c:pt>
                <c:pt idx="46" formatCode="0.000">
                  <c:v>6.3E-2</c:v>
                </c:pt>
                <c:pt idx="47" formatCode="0.000">
                  <c:v>5.2999999999999999E-2</c:v>
                </c:pt>
                <c:pt idx="48" formatCode="0.000">
                  <c:v>4.4999999999999998E-2</c:v>
                </c:pt>
                <c:pt idx="49" formatCode="0.000">
                  <c:v>3.7999999999999999E-2</c:v>
                </c:pt>
                <c:pt idx="50" formatCode="0.000">
                  <c:v>3.2000000000000001E-2</c:v>
                </c:pt>
                <c:pt idx="51" formatCode="0.000">
                  <c:v>2.5000000000000001E-2</c:v>
                </c:pt>
                <c:pt idx="52" formatCode="0.000">
                  <c:v>0.02</c:v>
                </c:pt>
              </c:numCache>
            </c:numRef>
          </c:xVal>
          <c:yVal>
            <c:numRef>
              <c:f>UNIMODAL!$O$5:$O$57</c:f>
              <c:numCache>
                <c:formatCode>0</c:formatCode>
                <c:ptCount val="53"/>
                <c:pt idx="0">
                  <c:v>99.994826184333164</c:v>
                </c:pt>
                <c:pt idx="1">
                  <c:v>99.992031259572101</c:v>
                </c:pt>
                <c:pt idx="2">
                  <c:v>99.990761442819078</c:v>
                </c:pt>
                <c:pt idx="3">
                  <c:v>99.988002701685446</c:v>
                </c:pt>
                <c:pt idx="4">
                  <c:v>99.981470182491378</c:v>
                </c:pt>
                <c:pt idx="5" formatCode="0.0">
                  <c:v>99.972442508401258</c:v>
                </c:pt>
                <c:pt idx="6" formatCode="0.0">
                  <c:v>99.959748921271242</c:v>
                </c:pt>
                <c:pt idx="7" formatCode="0.0">
                  <c:v>99.954358592103659</c:v>
                </c:pt>
                <c:pt idx="8" formatCode="0.0">
                  <c:v>99.942705562846896</c:v>
                </c:pt>
                <c:pt idx="9" formatCode="0.0">
                  <c:v>99.91330082564977</c:v>
                </c:pt>
                <c:pt idx="10" formatCode="0.0">
                  <c:v>99.857825950364671</c:v>
                </c:pt>
                <c:pt idx="11" formatCode="0.0">
                  <c:v>99.583059692146662</c:v>
                </c:pt>
                <c:pt idx="12" formatCode="0.0">
                  <c:v>99.125954659848531</c:v>
                </c:pt>
                <c:pt idx="13" formatCode="0.0">
                  <c:v>96.829084770611402</c:v>
                </c:pt>
                <c:pt idx="14" formatCode="0.0">
                  <c:v>87.741114706117088</c:v>
                </c:pt>
                <c:pt idx="15" formatCode="0.0">
                  <c:v>54.015027571019338</c:v>
                </c:pt>
                <c:pt idx="16" formatCode="0.0">
                  <c:v>40.03343952313314</c:v>
                </c:pt>
                <c:pt idx="17" formatCode="0.0">
                  <c:v>27.053177256326926</c:v>
                </c:pt>
                <c:pt idx="18" formatCode="0.0">
                  <c:v>19.81732929791162</c:v>
                </c:pt>
                <c:pt idx="19" formatCode="0.0">
                  <c:v>14.527213712294479</c:v>
                </c:pt>
                <c:pt idx="20" formatCode="0.0">
                  <c:v>12.68287061815605</c:v>
                </c:pt>
                <c:pt idx="21" formatCode="0.0">
                  <c:v>10.87086029444683</c:v>
                </c:pt>
                <c:pt idx="22" formatCode="0.00">
                  <c:v>9.4521423943434524</c:v>
                </c:pt>
                <c:pt idx="23" formatCode="0.00">
                  <c:v>8.3189930274513806</c:v>
                </c:pt>
                <c:pt idx="24" formatCode="0.00">
                  <c:v>7.4055248579055641</c:v>
                </c:pt>
                <c:pt idx="25" formatCode="0.00">
                  <c:v>6.6889761578528608</c:v>
                </c:pt>
                <c:pt idx="26" formatCode="0.00">
                  <c:v>6.1007548154962299</c:v>
                </c:pt>
                <c:pt idx="27" formatCode="0.00">
                  <c:v>5.5999203610797537</c:v>
                </c:pt>
                <c:pt idx="28" formatCode="0.00">
                  <c:v>5.0777733602774484</c:v>
                </c:pt>
                <c:pt idx="29" formatCode="0.00">
                  <c:v>4.6709567276241533</c:v>
                </c:pt>
                <c:pt idx="30" formatCode="0.00">
                  <c:v>4.3136856631550025</c:v>
                </c:pt>
                <c:pt idx="31" formatCode="0.00">
                  <c:v>3.9905066633280137</c:v>
                </c:pt>
                <c:pt idx="32" formatCode="0.00">
                  <c:v>3.6576311295836073</c:v>
                </c:pt>
                <c:pt idx="33" formatCode="0.00">
                  <c:v>3.3646760473871899</c:v>
                </c:pt>
                <c:pt idx="34" formatCode="0.00">
                  <c:v>3.0624003671028643</c:v>
                </c:pt>
                <c:pt idx="35" formatCode="0.00">
                  <c:v>2.8025235870001399</c:v>
                </c:pt>
                <c:pt idx="36" formatCode="0.00">
                  <c:v>2.52178548751042</c:v>
                </c:pt>
                <c:pt idx="37" formatCode="0.00">
                  <c:v>2.2630837021199617</c:v>
                </c:pt>
                <c:pt idx="38" formatCode="0.00">
                  <c:v>1.9842783557166102</c:v>
                </c:pt>
                <c:pt idx="39" formatCode="0.00">
                  <c:v>1.7311530729336559</c:v>
                </c:pt>
                <c:pt idx="40" formatCode="0.00">
                  <c:v>1.4770709500831067</c:v>
                </c:pt>
                <c:pt idx="41" formatCode="0.00">
                  <c:v>1.1884765249717337</c:v>
                </c:pt>
                <c:pt idx="42" formatCode="0.00">
                  <c:v>0.8919005724049881</c:v>
                </c:pt>
                <c:pt idx="43" formatCode="0.00">
                  <c:v>0.61500648790559043</c:v>
                </c:pt>
                <c:pt idx="44" formatCode="0.00">
                  <c:v>0.33042491305058586</c:v>
                </c:pt>
                <c:pt idx="45" formatCode="0.00">
                  <c:v>0</c:v>
                </c:pt>
                <c:pt idx="46" formatCode="0.000">
                  <c:v>-0.33098520312378493</c:v>
                </c:pt>
                <c:pt idx="47" formatCode="0.000">
                  <c:v>-0.67540054796516014</c:v>
                </c:pt>
                <c:pt idx="48" formatCode="0.000">
                  <c:v>-1.0180327318156461</c:v>
                </c:pt>
                <c:pt idx="49" formatCode="0.000">
                  <c:v>-1.3906680757203185</c:v>
                </c:pt>
                <c:pt idx="50" formatCode="0.000">
                  <c:v>-1.7905428964939116</c:v>
                </c:pt>
                <c:pt idx="51" formatCode="0.000">
                  <c:v>-2.4059199257892478</c:v>
                </c:pt>
                <c:pt idx="52" formatCode="0.000">
                  <c:v>-3.0079507249851063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BEC9-4755-AB33-4845FE4BA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71240"/>
        <c:axId val="191171632"/>
      </c:scatterChart>
      <c:valAx>
        <c:axId val="191171240"/>
        <c:scaling>
          <c:logBase val="10"/>
          <c:orientation val="minMax"/>
          <c:max val="130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5000"/>
                </a:schemeClr>
              </a:solidFill>
              <a:round/>
            </a:ln>
            <a:effectLst/>
          </c:spPr>
        </c:minorGridlines>
        <c:numFmt formatCode="@" sourceLinked="0"/>
        <c:majorTickMark val="in"/>
        <c:minorTickMark val="in"/>
        <c:tickLblPos val="low"/>
        <c:spPr>
          <a:noFill/>
          <a:ln>
            <a:solidFill>
              <a:schemeClr val="accent2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tr-TR"/>
          </a:p>
        </c:txPr>
        <c:crossAx val="191171632"/>
        <c:crosses val="autoZero"/>
        <c:crossBetween val="midCat"/>
        <c:majorUnit val="10"/>
        <c:minorUnit val="10"/>
      </c:valAx>
      <c:valAx>
        <c:axId val="19117163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50000"/>
                </a:schemeClr>
              </a:solidFill>
              <a:round/>
            </a:ln>
            <a:effectLst/>
          </c:spPr>
        </c:majorGridlines>
        <c:minorGridlines>
          <c:spPr>
            <a:ln w="22225" cap="flat" cmpd="tri" algn="ctr">
              <a:solidFill>
                <a:schemeClr val="bg2"/>
              </a:solidFill>
              <a:prstDash val="sysDot"/>
              <a:round/>
            </a:ln>
            <a:effectLst/>
          </c:spPr>
        </c:minorGridlines>
        <c:numFmt formatCode="0" sourceLinked="0"/>
        <c:majorTickMark val="in"/>
        <c:minorTickMark val="in"/>
        <c:tickLblPos val="nextTo"/>
        <c:spPr>
          <a:noFill/>
          <a:ln w="9525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tr-TR"/>
          </a:p>
        </c:txPr>
        <c:crossAx val="191171240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7577379438251785E-2"/>
          <c:y val="4.908479579818404E-2"/>
          <c:w val="0.15132660535886169"/>
          <c:h val="0.1445537085642072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tr-TR"/>
        </a:p>
      </c:txPr>
    </c:legend>
    <c:plotVisOnly val="1"/>
    <c:dispBlanksAs val="gap"/>
    <c:showDLblsOverMax val="0"/>
  </c:chart>
  <c:spPr>
    <a:solidFill>
      <a:schemeClr val="lt1"/>
    </a:solidFill>
    <a:ln w="635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82170510755897E-2"/>
          <c:y val="2.6303869934618088E-2"/>
          <c:w val="0.926251652278405"/>
          <c:h val="0.91434424822740545"/>
        </c:manualLayout>
      </c:layout>
      <c:scatterChart>
        <c:scatterStyle val="smoothMarker"/>
        <c:varyColors val="0"/>
        <c:ser>
          <c:idx val="2"/>
          <c:order val="0"/>
          <c:tx>
            <c:v>Hata</c:v>
          </c:tx>
          <c:spPr>
            <a:ln>
              <a:solidFill>
                <a:srgbClr val="FF0000">
                  <a:alpha val="19000"/>
                </a:srgbClr>
              </a:solidFill>
            </a:ln>
          </c:spPr>
          <c:marker>
            <c:symbol val="none"/>
          </c:marker>
          <c:xVal>
            <c:numRef>
              <c:f>BIMODAL!$M$5:$M$57</c:f>
              <c:numCache>
                <c:formatCode>0</c:formatCode>
                <c:ptCount val="53"/>
                <c:pt idx="0">
                  <c:v>125</c:v>
                </c:pt>
                <c:pt idx="1">
                  <c:v>106</c:v>
                </c:pt>
                <c:pt idx="2">
                  <c:v>100</c:v>
                </c:pt>
                <c:pt idx="3">
                  <c:v>90</c:v>
                </c:pt>
                <c:pt idx="4">
                  <c:v>75</c:v>
                </c:pt>
                <c:pt idx="5">
                  <c:v>63</c:v>
                </c:pt>
                <c:pt idx="6">
                  <c:v>53</c:v>
                </c:pt>
                <c:pt idx="7">
                  <c:v>50</c:v>
                </c:pt>
                <c:pt idx="8">
                  <c:v>45</c:v>
                </c:pt>
                <c:pt idx="9" formatCode="0.0">
                  <c:v>37.5</c:v>
                </c:pt>
                <c:pt idx="10" formatCode="0.0">
                  <c:v>31.5</c:v>
                </c:pt>
                <c:pt idx="11">
                  <c:v>25</c:v>
                </c:pt>
                <c:pt idx="12" formatCode="0.0">
                  <c:v>22.4</c:v>
                </c:pt>
                <c:pt idx="13">
                  <c:v>19</c:v>
                </c:pt>
                <c:pt idx="14">
                  <c:v>16</c:v>
                </c:pt>
                <c:pt idx="15" formatCode="0.0">
                  <c:v>12.5</c:v>
                </c:pt>
                <c:pt idx="16" formatCode="0.0">
                  <c:v>11.2</c:v>
                </c:pt>
                <c:pt idx="17" formatCode="0.0">
                  <c:v>9.5</c:v>
                </c:pt>
                <c:pt idx="18" formatCode="0.0">
                  <c:v>8</c:v>
                </c:pt>
                <c:pt idx="19" formatCode="0.0">
                  <c:v>6.35</c:v>
                </c:pt>
                <c:pt idx="20" formatCode="0.0">
                  <c:v>5.6</c:v>
                </c:pt>
                <c:pt idx="21" formatCode="0.00">
                  <c:v>4.75</c:v>
                </c:pt>
                <c:pt idx="22" formatCode="0.00">
                  <c:v>4</c:v>
                </c:pt>
                <c:pt idx="23" formatCode="0.00">
                  <c:v>3.35</c:v>
                </c:pt>
                <c:pt idx="24" formatCode="0.00">
                  <c:v>2.8</c:v>
                </c:pt>
                <c:pt idx="25" formatCode="0.00">
                  <c:v>2.36</c:v>
                </c:pt>
                <c:pt idx="26" formatCode="0.00">
                  <c:v>2</c:v>
                </c:pt>
                <c:pt idx="27" formatCode="0.00">
                  <c:v>1.7</c:v>
                </c:pt>
                <c:pt idx="28" formatCode="0.00">
                  <c:v>1.4</c:v>
                </c:pt>
                <c:pt idx="29" formatCode="0.00">
                  <c:v>1.18</c:v>
                </c:pt>
                <c:pt idx="30" formatCode="0.00">
                  <c:v>1</c:v>
                </c:pt>
                <c:pt idx="31" formatCode="0.000">
                  <c:v>0.85</c:v>
                </c:pt>
                <c:pt idx="32" formatCode="0.000">
                  <c:v>0.71</c:v>
                </c:pt>
                <c:pt idx="33" formatCode="0.000">
                  <c:v>0.6</c:v>
                </c:pt>
                <c:pt idx="34" formatCode="0.000">
                  <c:v>0.5</c:v>
                </c:pt>
                <c:pt idx="35" formatCode="0.000">
                  <c:v>0.42499999999999999</c:v>
                </c:pt>
                <c:pt idx="36" formatCode="0.000">
                  <c:v>0.35499999999999998</c:v>
                </c:pt>
                <c:pt idx="37" formatCode="0.000">
                  <c:v>0.3</c:v>
                </c:pt>
                <c:pt idx="38" formatCode="0.000">
                  <c:v>0.25</c:v>
                </c:pt>
                <c:pt idx="39" formatCode="0.000">
                  <c:v>0.21199999999999999</c:v>
                </c:pt>
                <c:pt idx="40" formatCode="0.000">
                  <c:v>0.18</c:v>
                </c:pt>
                <c:pt idx="41" formatCode="0.000">
                  <c:v>0.15</c:v>
                </c:pt>
                <c:pt idx="42" formatCode="0.000">
                  <c:v>0.125</c:v>
                </c:pt>
                <c:pt idx="43" formatCode="0.000">
                  <c:v>0.106</c:v>
                </c:pt>
                <c:pt idx="44" formatCode="0.000">
                  <c:v>0.09</c:v>
                </c:pt>
                <c:pt idx="45" formatCode="0.000">
                  <c:v>7.4999999999999997E-2</c:v>
                </c:pt>
                <c:pt idx="46" formatCode="0.000">
                  <c:v>6.3E-2</c:v>
                </c:pt>
                <c:pt idx="47" formatCode="0.000">
                  <c:v>5.2999999999999999E-2</c:v>
                </c:pt>
                <c:pt idx="48" formatCode="0.000">
                  <c:v>4.4999999999999998E-2</c:v>
                </c:pt>
                <c:pt idx="49" formatCode="0.000">
                  <c:v>3.7999999999999999E-2</c:v>
                </c:pt>
                <c:pt idx="50" formatCode="0.000">
                  <c:v>3.2000000000000001E-2</c:v>
                </c:pt>
                <c:pt idx="51" formatCode="0.000">
                  <c:v>2.5000000000000001E-2</c:v>
                </c:pt>
                <c:pt idx="52" formatCode="0.000">
                  <c:v>0.02</c:v>
                </c:pt>
              </c:numCache>
            </c:numRef>
          </c:xVal>
          <c:yVal>
            <c:numRef>
              <c:f>BIMODAL!$P$5:$P$57</c:f>
              <c:numCache>
                <c:formatCode>0.000</c:formatCode>
                <c:ptCount val="53"/>
                <c:pt idx="0">
                  <c:v>7.1341538328449309E-15</c:v>
                </c:pt>
                <c:pt idx="1">
                  <c:v>1.8166506147335329E-13</c:v>
                </c:pt>
                <c:pt idx="2">
                  <c:v>5.7035542438209547E-13</c:v>
                </c:pt>
                <c:pt idx="3">
                  <c:v>4.5142136298799061E-12</c:v>
                </c:pt>
                <c:pt idx="4">
                  <c:v>1.6191434205549606E-10</c:v>
                </c:pt>
                <c:pt idx="5">
                  <c:v>4.9663916672524849E-9</c:v>
                </c:pt>
                <c:pt idx="6">
                  <c:v>1.4788039921629795E-7</c:v>
                </c:pt>
                <c:pt idx="7">
                  <c:v>4.642790175329786E-7</c:v>
                </c:pt>
                <c:pt idx="8">
                  <c:v>3.6744455801488865E-6</c:v>
                </c:pt>
                <c:pt idx="9">
                  <c:v>1.3173797846470213E-4</c:v>
                </c:pt>
                <c:pt idx="10">
                  <c:v>4.0314819038114692E-3</c:v>
                </c:pt>
                <c:pt idx="11">
                  <c:v>0.36785593266049088</c:v>
                </c:pt>
                <c:pt idx="12">
                  <c:v>61.319493089915959</c:v>
                </c:pt>
                <c:pt idx="13">
                  <c:v>210.38588531601806</c:v>
                </c:pt>
                <c:pt idx="14">
                  <c:v>86.49841490905105</c:v>
                </c:pt>
                <c:pt idx="15">
                  <c:v>8.1829808988301139E-3</c:v>
                </c:pt>
                <c:pt idx="16">
                  <c:v>1.5753161900544901</c:v>
                </c:pt>
                <c:pt idx="17">
                  <c:v>24.011361437217598</c:v>
                </c:pt>
                <c:pt idx="18">
                  <c:v>86.581917565673095</c:v>
                </c:pt>
                <c:pt idx="19">
                  <c:v>221.42234055280858</c:v>
                </c:pt>
                <c:pt idx="20">
                  <c:v>308.97639085130663</c:v>
                </c:pt>
                <c:pt idx="21">
                  <c:v>429.35166172259284</c:v>
                </c:pt>
                <c:pt idx="22">
                  <c:v>554.13395357809634</c:v>
                </c:pt>
                <c:pt idx="23">
                  <c:v>662.97727817355599</c:v>
                </c:pt>
                <c:pt idx="24">
                  <c:v>526.95421012156692</c:v>
                </c:pt>
                <c:pt idx="25">
                  <c:v>39.959232271195333</c:v>
                </c:pt>
                <c:pt idx="26">
                  <c:v>1.7166474606796156E-4</c:v>
                </c:pt>
                <c:pt idx="27">
                  <c:v>1.4538520360663756</c:v>
                </c:pt>
                <c:pt idx="28">
                  <c:v>1.6573835548681775</c:v>
                </c:pt>
                <c:pt idx="29">
                  <c:v>1.13315740716096</c:v>
                </c:pt>
                <c:pt idx="30">
                  <c:v>0.62477959476863376</c:v>
                </c:pt>
                <c:pt idx="31">
                  <c:v>0.27407233312559615</c:v>
                </c:pt>
                <c:pt idx="32">
                  <c:v>6.4986857940265763E-2</c:v>
                </c:pt>
                <c:pt idx="33">
                  <c:v>1.3714968875032391E-3</c:v>
                </c:pt>
                <c:pt idx="34">
                  <c:v>2.9823144181070077E-5</c:v>
                </c:pt>
                <c:pt idx="35">
                  <c:v>2.0459046498765333E-4</c:v>
                </c:pt>
                <c:pt idx="36">
                  <c:v>6.120599036111311E-4</c:v>
                </c:pt>
                <c:pt idx="37">
                  <c:v>4.7559271864378863E-4</c:v>
                </c:pt>
                <c:pt idx="38">
                  <c:v>5.4517648927313615E-6</c:v>
                </c:pt>
                <c:pt idx="39">
                  <c:v>1.0757108764780886E-3</c:v>
                </c:pt>
                <c:pt idx="40">
                  <c:v>7.7230342768684589E-3</c:v>
                </c:pt>
                <c:pt idx="41">
                  <c:v>3.202870577121586E-2</c:v>
                </c:pt>
                <c:pt idx="42">
                  <c:v>9.6084652001745194E-2</c:v>
                </c:pt>
                <c:pt idx="43">
                  <c:v>0.22312772801698366</c:v>
                </c:pt>
                <c:pt idx="44">
                  <c:v>0.47005777616396049</c:v>
                </c:pt>
                <c:pt idx="45">
                  <c:v>1</c:v>
                </c:pt>
                <c:pt idx="46">
                  <c:v>1.5832503522943935</c:v>
                </c:pt>
                <c:pt idx="47">
                  <c:v>2.7219045651173652</c:v>
                </c:pt>
                <c:pt idx="48">
                  <c:v>4.6878978693376139</c:v>
                </c:pt>
                <c:pt idx="49">
                  <c:v>8.2396798754866261</c:v>
                </c:pt>
                <c:pt idx="50">
                  <c:v>14.427761542536274</c:v>
                </c:pt>
                <c:pt idx="51">
                  <c:v>31.130638778565114</c:v>
                </c:pt>
                <c:pt idx="52">
                  <c:v>59.972359121513719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A5F-48D4-9568-4F970B0ED073}"/>
            </c:ext>
          </c:extLst>
        </c:ser>
        <c:ser>
          <c:idx val="0"/>
          <c:order val="1"/>
          <c:tx>
            <c:v>ORJİNAL VERİ</c:v>
          </c:tx>
          <c:spPr>
            <a:ln w="41275" cap="flat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34925" cap="flat" cmpd="dbl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BIMODAL!$C$5:$C$15</c:f>
              <c:numCache>
                <c:formatCode>0.000</c:formatCode>
                <c:ptCount val="11"/>
                <c:pt idx="0">
                  <c:v>125</c:v>
                </c:pt>
                <c:pt idx="1">
                  <c:v>75</c:v>
                </c:pt>
                <c:pt idx="2">
                  <c:v>90</c:v>
                </c:pt>
                <c:pt idx="3">
                  <c:v>50</c:v>
                </c:pt>
                <c:pt idx="4">
                  <c:v>45</c:v>
                </c:pt>
                <c:pt idx="5">
                  <c:v>37.5</c:v>
                </c:pt>
                <c:pt idx="6">
                  <c:v>25</c:v>
                </c:pt>
                <c:pt idx="7">
                  <c:v>12.5</c:v>
                </c:pt>
                <c:pt idx="8">
                  <c:v>2</c:v>
                </c:pt>
                <c:pt idx="9">
                  <c:v>0.6</c:v>
                </c:pt>
                <c:pt idx="10">
                  <c:v>7.4999999999999997E-2</c:v>
                </c:pt>
              </c:numCache>
            </c:numRef>
          </c:xVal>
          <c:yVal>
            <c:numRef>
              <c:f>BIMODAL!$D$5:$D$15</c:f>
              <c:numCache>
                <c:formatCode>0</c:formatCode>
                <c:ptCount val="1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54</c:v>
                </c:pt>
                <c:pt idx="8">
                  <c:v>7</c:v>
                </c:pt>
                <c:pt idx="9">
                  <c:v>2</c:v>
                </c:pt>
                <c:pt idx="10">
                  <c:v>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DA5F-48D4-9568-4F970B0ED073}"/>
            </c:ext>
          </c:extLst>
        </c:ser>
        <c:ser>
          <c:idx val="1"/>
          <c:order val="2"/>
          <c:tx>
            <c:v>BIMODAL VERI</c:v>
          </c:tx>
          <c:marker>
            <c:symbol val="square"/>
            <c:size val="4"/>
          </c:marker>
          <c:xVal>
            <c:numRef>
              <c:f>BIMODAL!$M$5:$M$57</c:f>
              <c:numCache>
                <c:formatCode>0</c:formatCode>
                <c:ptCount val="53"/>
                <c:pt idx="0">
                  <c:v>125</c:v>
                </c:pt>
                <c:pt idx="1">
                  <c:v>106</c:v>
                </c:pt>
                <c:pt idx="2">
                  <c:v>100</c:v>
                </c:pt>
                <c:pt idx="3">
                  <c:v>90</c:v>
                </c:pt>
                <c:pt idx="4">
                  <c:v>75</c:v>
                </c:pt>
                <c:pt idx="5">
                  <c:v>63</c:v>
                </c:pt>
                <c:pt idx="6">
                  <c:v>53</c:v>
                </c:pt>
                <c:pt idx="7">
                  <c:v>50</c:v>
                </c:pt>
                <c:pt idx="8">
                  <c:v>45</c:v>
                </c:pt>
                <c:pt idx="9" formatCode="0.0">
                  <c:v>37.5</c:v>
                </c:pt>
                <c:pt idx="10" formatCode="0.0">
                  <c:v>31.5</c:v>
                </c:pt>
                <c:pt idx="11">
                  <c:v>25</c:v>
                </c:pt>
                <c:pt idx="12" formatCode="0.0">
                  <c:v>22.4</c:v>
                </c:pt>
                <c:pt idx="13">
                  <c:v>19</c:v>
                </c:pt>
                <c:pt idx="14">
                  <c:v>16</c:v>
                </c:pt>
                <c:pt idx="15" formatCode="0.0">
                  <c:v>12.5</c:v>
                </c:pt>
                <c:pt idx="16" formatCode="0.0">
                  <c:v>11.2</c:v>
                </c:pt>
                <c:pt idx="17" formatCode="0.0">
                  <c:v>9.5</c:v>
                </c:pt>
                <c:pt idx="18" formatCode="0.0">
                  <c:v>8</c:v>
                </c:pt>
                <c:pt idx="19" formatCode="0.0">
                  <c:v>6.35</c:v>
                </c:pt>
                <c:pt idx="20" formatCode="0.0">
                  <c:v>5.6</c:v>
                </c:pt>
                <c:pt idx="21" formatCode="0.00">
                  <c:v>4.75</c:v>
                </c:pt>
                <c:pt idx="22" formatCode="0.00">
                  <c:v>4</c:v>
                </c:pt>
                <c:pt idx="23" formatCode="0.00">
                  <c:v>3.35</c:v>
                </c:pt>
                <c:pt idx="24" formatCode="0.00">
                  <c:v>2.8</c:v>
                </c:pt>
                <c:pt idx="25" formatCode="0.00">
                  <c:v>2.36</c:v>
                </c:pt>
                <c:pt idx="26" formatCode="0.00">
                  <c:v>2</c:v>
                </c:pt>
                <c:pt idx="27" formatCode="0.00">
                  <c:v>1.7</c:v>
                </c:pt>
                <c:pt idx="28" formatCode="0.00">
                  <c:v>1.4</c:v>
                </c:pt>
                <c:pt idx="29" formatCode="0.00">
                  <c:v>1.18</c:v>
                </c:pt>
                <c:pt idx="30" formatCode="0.00">
                  <c:v>1</c:v>
                </c:pt>
                <c:pt idx="31" formatCode="0.000">
                  <c:v>0.85</c:v>
                </c:pt>
                <c:pt idx="32" formatCode="0.000">
                  <c:v>0.71</c:v>
                </c:pt>
                <c:pt idx="33" formatCode="0.000">
                  <c:v>0.6</c:v>
                </c:pt>
                <c:pt idx="34" formatCode="0.000">
                  <c:v>0.5</c:v>
                </c:pt>
                <c:pt idx="35" formatCode="0.000">
                  <c:v>0.42499999999999999</c:v>
                </c:pt>
                <c:pt idx="36" formatCode="0.000">
                  <c:v>0.35499999999999998</c:v>
                </c:pt>
                <c:pt idx="37" formatCode="0.000">
                  <c:v>0.3</c:v>
                </c:pt>
                <c:pt idx="38" formatCode="0.000">
                  <c:v>0.25</c:v>
                </c:pt>
                <c:pt idx="39" formatCode="0.000">
                  <c:v>0.21199999999999999</c:v>
                </c:pt>
                <c:pt idx="40" formatCode="0.000">
                  <c:v>0.18</c:v>
                </c:pt>
                <c:pt idx="41" formatCode="0.000">
                  <c:v>0.15</c:v>
                </c:pt>
                <c:pt idx="42" formatCode="0.000">
                  <c:v>0.125</c:v>
                </c:pt>
                <c:pt idx="43" formatCode="0.000">
                  <c:v>0.106</c:v>
                </c:pt>
                <c:pt idx="44" formatCode="0.000">
                  <c:v>0.09</c:v>
                </c:pt>
                <c:pt idx="45" formatCode="0.000">
                  <c:v>7.4999999999999997E-2</c:v>
                </c:pt>
                <c:pt idx="46" formatCode="0.000">
                  <c:v>6.3E-2</c:v>
                </c:pt>
                <c:pt idx="47" formatCode="0.000">
                  <c:v>5.2999999999999999E-2</c:v>
                </c:pt>
                <c:pt idx="48" formatCode="0.000">
                  <c:v>4.4999999999999998E-2</c:v>
                </c:pt>
                <c:pt idx="49" formatCode="0.000">
                  <c:v>3.7999999999999999E-2</c:v>
                </c:pt>
                <c:pt idx="50" formatCode="0.000">
                  <c:v>3.2000000000000001E-2</c:v>
                </c:pt>
                <c:pt idx="51" formatCode="0.000">
                  <c:v>2.5000000000000001E-2</c:v>
                </c:pt>
                <c:pt idx="52" formatCode="0.000">
                  <c:v>0.02</c:v>
                </c:pt>
              </c:numCache>
            </c:numRef>
          </c:xVal>
          <c:yVal>
            <c:numRef>
              <c:f>BIMODAL!$O$5:$O$57</c:f>
              <c:numCache>
                <c:formatCode>0</c:formatCode>
                <c:ptCount val="53"/>
                <c:pt idx="0">
                  <c:v>99.99999991553608</c:v>
                </c:pt>
                <c:pt idx="1">
                  <c:v>99.999999573778155</c:v>
                </c:pt>
                <c:pt idx="2">
                  <c:v>99.999999244781208</c:v>
                </c:pt>
                <c:pt idx="3">
                  <c:v>99.999997875332113</c:v>
                </c:pt>
                <c:pt idx="4">
                  <c:v>99.999987275443345</c:v>
                </c:pt>
                <c:pt idx="5" formatCode="0.0">
                  <c:v>99.999929527369375</c:v>
                </c:pt>
                <c:pt idx="6" formatCode="0.0">
                  <c:v>99.9996154477939</c:v>
                </c:pt>
                <c:pt idx="7" formatCode="0.0">
                  <c:v>99.999318619770222</c:v>
                </c:pt>
                <c:pt idx="8" formatCode="0.0">
                  <c:v>99.998083115658119</c:v>
                </c:pt>
                <c:pt idx="9" formatCode="0.0">
                  <c:v>99.988522283395</c:v>
                </c:pt>
                <c:pt idx="10" formatCode="0.0">
                  <c:v>99.93650604828953</c:v>
                </c:pt>
                <c:pt idx="11" formatCode="0.0">
                  <c:v>99.393488720088001</c:v>
                </c:pt>
                <c:pt idx="12" formatCode="0.0">
                  <c:v>98.262676413306565</c:v>
                </c:pt>
                <c:pt idx="13" formatCode="0.0">
                  <c:v>92.424684943700711</c:v>
                </c:pt>
                <c:pt idx="14" formatCode="0.0">
                  <c:v>76.180452403461402</c:v>
                </c:pt>
                <c:pt idx="15" formatCode="0.0">
                  <c:v>54.090459830305115</c:v>
                </c:pt>
                <c:pt idx="16" formatCode="0.0">
                  <c:v>49.43606838756471</c:v>
                </c:pt>
                <c:pt idx="17" formatCode="0.0">
                  <c:v>45.471567491624363</c:v>
                </c:pt>
                <c:pt idx="18" formatCode="0.0">
                  <c:v>43.16208334946591</c:v>
                </c:pt>
                <c:pt idx="19" formatCode="0.0">
                  <c:v>41.351695388687212</c:v>
                </c:pt>
                <c:pt idx="20" formatCode="0.0">
                  <c:v>40.692009993933141</c:v>
                </c:pt>
                <c:pt idx="21" formatCode="0.0">
                  <c:v>40.030326441723965</c:v>
                </c:pt>
                <c:pt idx="22" formatCode="0.00">
                  <c:v>39.49243094336645</c:v>
                </c:pt>
                <c:pt idx="23" formatCode="0.00">
                  <c:v>38.791202296935609</c:v>
                </c:pt>
                <c:pt idx="24" formatCode="0.00">
                  <c:v>33.536435606569022</c:v>
                </c:pt>
                <c:pt idx="25" formatCode="0.00">
                  <c:v>14.932760098187417</c:v>
                </c:pt>
                <c:pt idx="26" formatCode="0.00">
                  <c:v>6.9868979106220435</c:v>
                </c:pt>
                <c:pt idx="27" formatCode="0.00">
                  <c:v>4.7228135606450463</c:v>
                </c:pt>
                <c:pt idx="28" formatCode="0.00">
                  <c:v>3.569748762520633</c:v>
                </c:pt>
                <c:pt idx="29" formatCode="0.00">
                  <c:v>3.0069299067225228</c:v>
                </c:pt>
                <c:pt idx="30" formatCode="0.00">
                  <c:v>2.638141422328856</c:v>
                </c:pt>
                <c:pt idx="31" formatCode="0.00">
                  <c:v>2.3693379616177195</c:v>
                </c:pt>
                <c:pt idx="32" formatCode="0.00">
                  <c:v>2.1379319421800309</c:v>
                </c:pt>
                <c:pt idx="33" formatCode="0.00">
                  <c:v>1.9629662736481563</c:v>
                </c:pt>
                <c:pt idx="34" formatCode="0.00">
                  <c:v>1.8040627524666939</c:v>
                </c:pt>
                <c:pt idx="35" formatCode="0.00">
                  <c:v>1.6809701789971276</c:v>
                </c:pt>
                <c:pt idx="36" formatCode="0.00">
                  <c:v>1.5580731777873942</c:v>
                </c:pt>
                <c:pt idx="37" formatCode="0.00">
                  <c:v>1.4503795169480787</c:v>
                </c:pt>
                <c:pt idx="38" formatCode="0.00">
                  <c:v>1.3356682348072142</c:v>
                </c:pt>
                <c:pt idx="39" formatCode="0.00">
                  <c:v>1.2281543493578158</c:v>
                </c:pt>
                <c:pt idx="40" formatCode="0.00">
                  <c:v>1.1121192041634325</c:v>
                </c:pt>
                <c:pt idx="41" formatCode="0.00">
                  <c:v>0.96389148757318655</c:v>
                </c:pt>
                <c:pt idx="42" formatCode="0.00">
                  <c:v>0.7852628510624593</c:v>
                </c:pt>
                <c:pt idx="43" formatCode="0.00">
                  <c:v>0.58668364072477563</c:v>
                </c:pt>
                <c:pt idx="44" formatCode="0.00">
                  <c:v>0.34296383222789284</c:v>
                </c:pt>
                <c:pt idx="45" formatCode="0.00">
                  <c:v>0</c:v>
                </c:pt>
                <c:pt idx="46" formatCode="0.000">
                  <c:v>-0.4182727654584254</c:v>
                </c:pt>
                <c:pt idx="47" formatCode="0.000">
                  <c:v>-0.94315288865366143</c:v>
                </c:pt>
                <c:pt idx="48" formatCode="0.000">
                  <c:v>-1.5651553914990983</c:v>
                </c:pt>
                <c:pt idx="49" formatCode="0.000">
                  <c:v>-2.3638175913439263</c:v>
                </c:pt>
                <c:pt idx="50" formatCode="0.000">
                  <c:v>-3.3717226686353734</c:v>
                </c:pt>
                <c:pt idx="51" formatCode="0.000">
                  <c:v>-5.2461504043045064</c:v>
                </c:pt>
                <c:pt idx="52" formatCode="0.000">
                  <c:v>-7.4775156091784547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A5F-48D4-9568-4F970B0ED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06456"/>
        <c:axId val="192006848"/>
      </c:scatterChart>
      <c:valAx>
        <c:axId val="192006456"/>
        <c:scaling>
          <c:logBase val="10"/>
          <c:orientation val="minMax"/>
          <c:max val="125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alpha val="25000"/>
                </a:schemeClr>
              </a:solidFill>
              <a:round/>
            </a:ln>
            <a:effectLst/>
          </c:spPr>
        </c:minorGridlines>
        <c:numFmt formatCode="@" sourceLinked="0"/>
        <c:majorTickMark val="in"/>
        <c:minorTickMark val="in"/>
        <c:tickLblPos val="low"/>
        <c:spPr>
          <a:noFill/>
          <a:ln>
            <a:solidFill>
              <a:schemeClr val="accent2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tr-TR"/>
          </a:p>
        </c:txPr>
        <c:crossAx val="192006848"/>
        <c:crosses val="autoZero"/>
        <c:crossBetween val="midCat"/>
        <c:majorUnit val="10"/>
      </c:valAx>
      <c:valAx>
        <c:axId val="192006848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alpha val="50000"/>
                </a:schemeClr>
              </a:solidFill>
              <a:round/>
            </a:ln>
            <a:effectLst/>
          </c:spPr>
        </c:majorGridlines>
        <c:minorGridlines>
          <c:spPr>
            <a:ln w="22225" cap="flat" cmpd="tri" algn="ctr">
              <a:solidFill>
                <a:schemeClr val="bg2"/>
              </a:solidFill>
              <a:prstDash val="sysDot"/>
              <a:round/>
            </a:ln>
            <a:effectLst/>
          </c:spPr>
        </c:minorGridlines>
        <c:numFmt formatCode="0" sourceLinked="0"/>
        <c:majorTickMark val="in"/>
        <c:minorTickMark val="in"/>
        <c:tickLblPos val="nextTo"/>
        <c:spPr>
          <a:noFill/>
          <a:ln w="9525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tr-TR"/>
          </a:p>
        </c:txPr>
        <c:crossAx val="192006456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7577379438251785E-2"/>
          <c:y val="4.908479579818404E-2"/>
          <c:w val="0.18655320494576733"/>
          <c:h val="0.1454554387384750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tr-TR"/>
        </a:p>
      </c:txPr>
    </c:legend>
    <c:plotVisOnly val="1"/>
    <c:dispBlanksAs val="gap"/>
    <c:showDLblsOverMax val="0"/>
  </c:chart>
  <c:spPr>
    <a:solidFill>
      <a:schemeClr val="lt1"/>
    </a:solidFill>
    <a:ln w="635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564173</xdr:colOff>
      <xdr:row>19</xdr:row>
      <xdr:rowOff>137746</xdr:rowOff>
    </xdr:to>
    <xdr:graphicFrame macro="">
      <xdr:nvGraphicFramePr>
        <xdr:cNvPr id="2" name="MKBAG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</cdr:x>
      <cdr:y>0.03472</cdr:y>
    </cdr:from>
    <cdr:to>
      <cdr:x>0.65833</cdr:x>
      <cdr:y>0.15625</cdr:y>
    </cdr:to>
    <cdr:sp macro="" textlink="">
      <cdr:nvSpPr>
        <cdr:cNvPr id="2" name="1 Metin kutusu"/>
        <cdr:cNvSpPr txBox="1"/>
      </cdr:nvSpPr>
      <cdr:spPr>
        <a:xfrm xmlns:a="http://schemas.openxmlformats.org/drawingml/2006/main">
          <a:off x="1371600" y="95250"/>
          <a:ext cx="1638300" cy="333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tr-TR"/>
        </a:p>
      </cdr:txBody>
    </cdr:sp>
  </cdr:relSizeAnchor>
  <cdr:relSizeAnchor xmlns:cdr="http://schemas.openxmlformats.org/drawingml/2006/chartDrawing">
    <cdr:from>
      <cdr:x>0.01383</cdr:x>
      <cdr:y>0.15803</cdr:y>
    </cdr:from>
    <cdr:to>
      <cdr:x>0.06719</cdr:x>
      <cdr:y>0.95673</cdr:y>
    </cdr:to>
    <cdr:sp macro="" textlink="">
      <cdr:nvSpPr>
        <cdr:cNvPr id="4" name="3 Metin kutusu"/>
        <cdr:cNvSpPr txBox="1"/>
      </cdr:nvSpPr>
      <cdr:spPr>
        <a:xfrm xmlns:a="http://schemas.openxmlformats.org/drawingml/2006/main">
          <a:off x="80115" y="581024"/>
          <a:ext cx="309017" cy="29365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endParaRPr lang="tr-TR"/>
        </a:p>
      </cdr:txBody>
    </cdr:sp>
  </cdr:relSizeAnchor>
  <cdr:relSizeAnchor xmlns:cdr="http://schemas.openxmlformats.org/drawingml/2006/chartDrawing">
    <cdr:from>
      <cdr:x>0.4525</cdr:x>
      <cdr:y>0.92742</cdr:y>
    </cdr:from>
    <cdr:to>
      <cdr:x>0.58014</cdr:x>
      <cdr:y>0.98992</cdr:y>
    </cdr:to>
    <cdr:sp macro="" textlink="">
      <cdr:nvSpPr>
        <cdr:cNvPr id="9" name="4 Metin kutusu"/>
        <cdr:cNvSpPr txBox="1"/>
      </cdr:nvSpPr>
      <cdr:spPr>
        <a:xfrm xmlns:a="http://schemas.openxmlformats.org/drawingml/2006/main">
          <a:off x="3292888" y="3485891"/>
          <a:ext cx="928849" cy="234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tr-TR" sz="1100" b="1"/>
            <a:t>Su İçeriği (%)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17809</xdr:colOff>
      <xdr:row>26</xdr:row>
      <xdr:rowOff>27330</xdr:rowOff>
    </xdr:from>
    <xdr:to>
      <xdr:col>3</xdr:col>
      <xdr:colOff>695325</xdr:colOff>
      <xdr:row>37</xdr:row>
      <xdr:rowOff>180975</xdr:rowOff>
    </xdr:to>
    <xdr:pic>
      <xdr:nvPicPr>
        <xdr:cNvPr id="3" name="Picture 2" descr="Algebraic construction for interpolation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109" y="4866030"/>
          <a:ext cx="1658591" cy="224914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51954</xdr:colOff>
      <xdr:row>1</xdr:row>
      <xdr:rowOff>0</xdr:rowOff>
    </xdr:from>
    <xdr:to>
      <xdr:col>22</xdr:col>
      <xdr:colOff>484909</xdr:colOff>
      <xdr:row>23</xdr:row>
      <xdr:rowOff>138545</xdr:rowOff>
    </xdr:to>
    <xdr:graphicFrame macro="">
      <xdr:nvGraphicFramePr>
        <xdr:cNvPr id="4" name="Grafik 15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</xdr:row>
      <xdr:rowOff>0</xdr:rowOff>
    </xdr:from>
    <xdr:to>
      <xdr:col>28</xdr:col>
      <xdr:colOff>561975</xdr:colOff>
      <xdr:row>28</xdr:row>
      <xdr:rowOff>0</xdr:rowOff>
    </xdr:to>
    <xdr:graphicFrame macro="">
      <xdr:nvGraphicFramePr>
        <xdr:cNvPr id="9" name="Grafik 15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19051</xdr:colOff>
      <xdr:row>21</xdr:row>
      <xdr:rowOff>19050</xdr:rowOff>
    </xdr:from>
    <xdr:to>
      <xdr:col>9</xdr:col>
      <xdr:colOff>438150</xdr:colOff>
      <xdr:row>24</xdr:row>
      <xdr:rowOff>180975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Metin kutusu 6">
              <a:extLst>
                <a:ext uri="{FF2B5EF4-FFF2-40B4-BE49-F238E27FC236}">
                  <a16:creationId xmlns:a16="http://schemas.microsoft.com/office/drawing/2014/main" xmlns="" id="{00000000-0008-0000-0300-000004000000}"/>
                </a:ext>
              </a:extLst>
            </xdr:cNvPr>
            <xdr:cNvSpPr txBox="1"/>
          </xdr:nvSpPr>
          <xdr:spPr>
            <a:xfrm>
              <a:off x="133351" y="3143250"/>
              <a:ext cx="3667124" cy="7334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tr-TR" sz="1000" b="0" i="1">
                        <a:latin typeface="Cambria Math"/>
                      </a:rPr>
                      <m:t>𝑃</m:t>
                    </m:r>
                    <m:r>
                      <a:rPr lang="tr-TR" sz="1000" b="0" i="1" baseline="-25000">
                        <a:latin typeface="Cambria Math"/>
                      </a:rPr>
                      <m:t>𝑝</m:t>
                    </m:r>
                    <m:d>
                      <m:dPr>
                        <m:ctrlPr>
                          <a:rPr lang="tr-T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tr-TR" sz="1000" b="0" i="1">
                            <a:latin typeface="Cambria Math"/>
                          </a:rPr>
                          <m:t>𝑑</m:t>
                        </m:r>
                      </m:e>
                    </m:d>
                    <m:r>
                      <a:rPr lang="tr-TR" sz="1000" b="0" i="1">
                        <a:latin typeface="Cambria Math"/>
                      </a:rPr>
                      <m:t>= </m:t>
                    </m:r>
                    <m:f>
                      <m:fPr>
                        <m:ctrlPr>
                          <a:rPr lang="tr-TR" sz="1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tr-TR" sz="1000" b="0" i="1">
                            <a:latin typeface="Cambria Math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tr-TR" sz="1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{"/>
                                <m:endChr m:val="}"/>
                                <m:ctrlPr>
                                  <a:rPr lang="tr-TR" sz="10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tr-TR" sz="10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𝑙𝑛</m:t>
                                </m:r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tr-TR" sz="10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unc>
                                      <m:funcPr>
                                        <m:ctrlPr>
                                          <a:rPr lang="tr-TR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uncPr>
                                      <m:fName>
                                        <m:r>
                                          <m:rPr>
                                            <m:sty m:val="p"/>
                                          </m:rPr>
                                          <a:rPr lang="tr-TR" sz="1000" b="0" i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exp</m:t>
                                        </m:r>
                                      </m:fName>
                                      <m:e>
                                        <m:d>
                                          <m:dPr>
                                            <m:ctrlP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1</m:t>
                                            </m:r>
                                          </m:e>
                                        </m:d>
                                      </m:e>
                                    </m:func>
                                    <m:r>
                                      <a:rPr lang="tr-TR" sz="10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+</m:t>
                                    </m:r>
                                    <m:sSup>
                                      <m:sSupPr>
                                        <m:ctrlPr>
                                          <a:rPr lang="tr-TR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f>
                                              <m:fPr>
                                                <m:ctrlPr>
                                                  <a:rPr lang="tr-TR" sz="10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fPr>
                                              <m:num>
                                                <m:r>
                                                  <a:rPr lang="tr-TR" sz="10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𝑎</m:t>
                                                </m:r>
                                                <m:r>
                                                  <a:rPr lang="tr-TR" sz="1000" b="0" i="1" baseline="-2500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𝑔𝑟</m:t>
                                                </m:r>
                                              </m:num>
                                              <m:den>
                                                <m:r>
                                                  <a:rPr lang="tr-TR" sz="10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𝑑</m:t>
                                                </m:r>
                                              </m:den>
                                            </m:f>
                                          </m:e>
                                        </m:d>
                                      </m:e>
                                      <m:sup>
                                        <m:r>
                                          <a:rPr lang="tr-TR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𝑛</m:t>
                                        </m:r>
                                        <m:r>
                                          <a:rPr lang="tr-TR" sz="1000" b="0" i="1" baseline="-2500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𝑔𝑟</m:t>
                                        </m:r>
                                      </m:sup>
                                    </m:s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tr-TR" sz="1000" b="0" i="1">
                                <a:latin typeface="Cambria Math"/>
                              </a:rPr>
                              <m:t>𝑚</m:t>
                            </m:r>
                            <m:r>
                              <a:rPr lang="tr-TR" sz="1000" b="0" i="1" baseline="-25000">
                                <a:latin typeface="Cambria Math"/>
                              </a:rPr>
                              <m:t>𝑔𝑟</m:t>
                            </m:r>
                          </m:sup>
                        </m:sSup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tr-TR" sz="10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tr-TR" sz="1000" b="0" i="1">
                            <a:latin typeface="Cambria Math"/>
                          </a:rPr>
                          <m:t>1−</m:t>
                        </m:r>
                        <m:sSup>
                          <m:sSupPr>
                            <m:ctrlPr>
                              <a:rPr lang="tr-TR" sz="1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tr-TR" sz="10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tr-TR" sz="10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tr-TR" sz="10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𝑙𝑛</m:t>
                                    </m:r>
                                    <m:d>
                                      <m:dPr>
                                        <m:ctrlPr>
                                          <a:rPr lang="tr-TR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tr-TR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1+</m:t>
                                        </m:r>
                                        <m:f>
                                          <m:fPr>
                                            <m:ctrlP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fPr>
                                          <m:num>
                                            <m: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𝑑</m:t>
                                            </m:r>
                                            <m:r>
                                              <a:rPr lang="tr-TR" sz="1000" b="0" i="1" baseline="-2500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𝑟𝑔𝑟</m:t>
                                            </m:r>
                                          </m:num>
                                          <m:den>
                                            <m: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𝑑</m:t>
                                            </m:r>
                                          </m:den>
                                        </m:f>
                                      </m:e>
                                    </m:d>
                                  </m:num>
                                  <m:den>
                                    <m:r>
                                      <a:rPr lang="tr-TR" sz="10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𝑙𝑛</m:t>
                                    </m:r>
                                    <m:d>
                                      <m:dPr>
                                        <m:ctrlPr>
                                          <a:rPr lang="tr-TR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tr-TR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1+</m:t>
                                        </m:r>
                                        <m:f>
                                          <m:fPr>
                                            <m:ctrlP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fPr>
                                          <m:num>
                                            <m: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𝑑</m:t>
                                            </m:r>
                                            <m:r>
                                              <a:rPr lang="tr-TR" sz="1000" b="0" i="1" baseline="-2500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𝑟𝑔𝑟</m:t>
                                            </m:r>
                                          </m:num>
                                          <m:den>
                                            <m:r>
                                              <a:rPr lang="tr-TR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𝑑</m:t>
                                            </m:r>
                                            <m:r>
                                              <a:rPr lang="tr-TR" sz="1000" b="0" i="1" baseline="-2500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𝑚</m:t>
                                            </m:r>
                                          </m:den>
                                        </m:f>
                                      </m:e>
                                    </m:d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tr-TR" sz="1000" b="0" i="1">
                                <a:latin typeface="Cambria Math"/>
                              </a:rPr>
                              <m:t>7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tr-TR" sz="1000"/>
            </a:p>
          </xdr:txBody>
        </xdr:sp>
      </mc:Choice>
      <mc:Fallback xmlns="">
        <xdr:sp macro="" textlink="">
          <xdr:nvSpPr>
            <xdr:cNvPr id="4" name="Metin kutusu 6"/>
            <xdr:cNvSpPr txBox="1"/>
          </xdr:nvSpPr>
          <xdr:spPr>
            <a:xfrm>
              <a:off x="133351" y="3143250"/>
              <a:ext cx="3667124" cy="7334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t"/>
            <a:lstStyle/>
            <a:p>
              <a:pPr/>
              <a:r>
                <a:rPr lang="tr-TR" sz="1000" b="0" i="0">
                  <a:latin typeface="Cambria Math"/>
                </a:rPr>
                <a:t>𝑃</a:t>
              </a:r>
              <a:r>
                <a:rPr lang="tr-TR" sz="1000" b="0" i="0" baseline="-25000">
                  <a:latin typeface="Cambria Math"/>
                </a:rPr>
                <a:t>𝑝</a:t>
              </a:r>
              <a:r>
                <a:rPr lang="tr-TR" sz="1000" b="0" i="0">
                  <a:latin typeface="Cambria Math" panose="02040503050406030204" pitchFamily="18" charset="0"/>
                </a:rPr>
                <a:t>(</a:t>
              </a:r>
              <a:r>
                <a:rPr lang="tr-TR" sz="1000" b="0" i="0">
                  <a:latin typeface="Cambria Math"/>
                </a:rPr>
                <a:t>𝑑</a:t>
              </a:r>
              <a:r>
                <a:rPr lang="tr-TR" sz="1000" b="0" i="0">
                  <a:latin typeface="Cambria Math" panose="02040503050406030204" pitchFamily="18" charset="0"/>
                </a:rPr>
                <a:t>)</a:t>
              </a:r>
              <a:r>
                <a:rPr lang="tr-TR" sz="1000" b="0" i="0">
                  <a:latin typeface="Cambria Math"/>
                </a:rPr>
                <a:t>=  1</a:t>
              </a:r>
              <a:r>
                <a:rPr lang="tr-TR" sz="1000" b="0" i="0">
                  <a:latin typeface="Cambria Math" panose="02040503050406030204" pitchFamily="18" charset="0"/>
                </a:rPr>
                <a:t>/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𝑙𝑛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exp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𝑎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𝑔𝑟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𝑑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𝑛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𝑔𝑟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]}^</a:t>
              </a:r>
              <a:r>
                <a:rPr lang="tr-TR" sz="1000" b="0" i="0">
                  <a:latin typeface="Cambria Math"/>
                </a:rPr>
                <a:t>𝑚</a:t>
              </a:r>
              <a:r>
                <a:rPr lang="tr-TR" sz="1000" b="0" i="0" baseline="-25000">
                  <a:latin typeface="Cambria Math"/>
                </a:rPr>
                <a:t>𝑔𝑟</a:t>
              </a:r>
              <a:r>
                <a:rPr lang="tr-TR" sz="1000" b="0" i="0" baseline="-25000">
                  <a:latin typeface="Cambria Math" panose="02040503050406030204" pitchFamily="18" charset="0"/>
                </a:rPr>
                <a:t>  </a:t>
              </a:r>
              <a:r>
                <a:rPr lang="tr-TR" sz="1000" b="0" i="0">
                  <a:latin typeface="Cambria Math" panose="02040503050406030204" pitchFamily="18" charset="0"/>
                </a:rPr>
                <a:t>{</a:t>
              </a:r>
              <a:r>
                <a:rPr lang="tr-TR" sz="1000" b="0" i="0">
                  <a:latin typeface="Cambria Math"/>
                </a:rPr>
                <a:t>1−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𝑙𝑛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1+𝑑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𝑟𝑔𝑟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𝑑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𝑙𝑛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1+𝑑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𝑟𝑔𝑟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tr-TR" sz="10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𝑑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𝑚</a:t>
              </a:r>
              <a:r>
                <a:rPr lang="tr-TR" sz="10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]^</a:t>
              </a:r>
              <a:r>
                <a:rPr lang="tr-TR" sz="1000" b="0" i="0">
                  <a:latin typeface="Cambria Math"/>
                </a:rPr>
                <a:t>7</a:t>
              </a:r>
              <a:r>
                <a:rPr lang="tr-TR" sz="1000" b="0" i="0">
                  <a:latin typeface="Cambria Math" panose="02040503050406030204" pitchFamily="18" charset="0"/>
                </a:rPr>
                <a:t> }</a:t>
              </a:r>
              <a:endParaRPr lang="tr-TR" sz="1000"/>
            </a:p>
          </xdr:txBody>
        </xdr:sp>
      </mc:Fallback>
    </mc:AlternateContent>
    <xdr:clientData/>
  </xdr:twoCellAnchor>
  <xdr:twoCellAnchor>
    <xdr:from>
      <xdr:col>1</xdr:col>
      <xdr:colOff>76200</xdr:colOff>
      <xdr:row>16</xdr:row>
      <xdr:rowOff>57150</xdr:rowOff>
    </xdr:from>
    <xdr:to>
      <xdr:col>9</xdr:col>
      <xdr:colOff>419100</xdr:colOff>
      <xdr:row>19</xdr:row>
      <xdr:rowOff>76200</xdr:rowOff>
    </xdr:to>
    <xdr:sp macro="[0]!unimodal_solv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190500" y="2990850"/>
          <a:ext cx="3590925" cy="590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400" b="1"/>
            <a:t>HESAPLA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21</xdr:row>
      <xdr:rowOff>3876</xdr:rowOff>
    </xdr:from>
    <xdr:ext cx="3762376" cy="15486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Metin kutusu 2">
              <a:extLst>
                <a:ext uri="{FF2B5EF4-FFF2-40B4-BE49-F238E27FC236}">
                  <a16:creationId xmlns:a16="http://schemas.microsoft.com/office/drawing/2014/main" xmlns="" id="{00000000-0008-0000-0400-000003000000}"/>
                </a:ext>
              </a:extLst>
            </xdr:cNvPr>
            <xdr:cNvSpPr txBox="1"/>
          </xdr:nvSpPr>
          <xdr:spPr>
            <a:xfrm>
              <a:off x="142875" y="4032951"/>
              <a:ext cx="3762376" cy="154869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numCol="1" rtlCol="0" anchor="ctr" anchorCtr="0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tr-TR" sz="900" b="0" i="1">
                        <a:latin typeface="Cambria Math"/>
                      </a:rPr>
                      <m:t>𝑃</m:t>
                    </m:r>
                    <m:r>
                      <a:rPr lang="tr-TR" sz="900" b="0" i="1" baseline="-25000">
                        <a:latin typeface="Cambria Math"/>
                      </a:rPr>
                      <m:t>𝑝</m:t>
                    </m:r>
                    <m:d>
                      <m:dPr>
                        <m:ctrlPr>
                          <a:rPr lang="tr-TR" sz="900" b="0" i="1" baseline="-250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tr-TR" sz="900" b="0" i="1">
                            <a:latin typeface="Cambria Math"/>
                          </a:rPr>
                          <m:t>𝑑</m:t>
                        </m:r>
                      </m:e>
                    </m:d>
                    <m:r>
                      <a:rPr lang="tr-TR" sz="9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}"/>
                        <m:ctrlPr>
                          <a:rPr lang="tr-TR" sz="9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tr-TR" sz="900" b="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𝑤</m:t>
                        </m:r>
                        <m:d>
                          <m:dPr>
                            <m:begChr m:val="["/>
                            <m:endChr m:val="]"/>
                            <m:ctrlPr>
                              <a:rPr lang="tr-TR" sz="9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tr-TR" sz="9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tr-TR" sz="9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num>
                              <m:den>
                                <m:sSup>
                                  <m:sSupPr>
                                    <m:ctrlPr>
                                      <a:rPr lang="tr-TR" sz="900" b="0" i="1" baseline="-25000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begChr m:val="{"/>
                                        <m:endChr m:val="}"/>
                                        <m:ctrlPr>
                                          <a:rPr lang="tr-TR" sz="9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func>
                                          <m:funcPr>
                                            <m:ctrlPr>
                                              <a:rPr lang="tr-TR" sz="9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funcPr>
                                          <m:fName>
                                            <m:r>
                                              <m:rPr>
                                                <m:sty m:val="p"/>
                                              </m:rPr>
                                              <a:rPr lang="tr-TR" sz="900" b="0" i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ln</m:t>
                                            </m:r>
                                          </m:fName>
                                          <m:e>
                                            <m:d>
                                              <m:dPr>
                                                <m:begChr m:val="["/>
                                                <m:endChr m:val="]"/>
                                                <m:ctrlPr>
                                                  <a:rPr lang="tr-TR" sz="9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dPr>
                                              <m:e>
                                                <m:func>
                                                  <m:funcPr>
                                                    <m:ctrlPr>
                                                      <a:rPr lang="tr-TR" sz="900" b="0" i="1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</m:ctrlPr>
                                                  </m:funcPr>
                                                  <m:fName>
                                                    <m:r>
                                                      <m:rPr>
                                                        <m:sty m:val="p"/>
                                                      </m:rPr>
                                                      <a:rPr lang="tr-TR" sz="900" b="0" i="0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exp</m:t>
                                                    </m:r>
                                                  </m:fName>
                                                  <m:e>
                                                    <m:d>
                                                      <m:dPr>
                                                        <m:ctrlPr>
                                                          <a:rPr lang="tr-TR" sz="900" b="0" i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Cambria Math" panose="02040503050406030204" pitchFamily="18" charset="0"/>
                                                            <a:ea typeface="+mn-ea"/>
                                                            <a:cs typeface="+mn-cs"/>
                                                          </a:rPr>
                                                        </m:ctrlPr>
                                                      </m:dPr>
                                                      <m:e>
                                                        <m:r>
                                                          <a:rPr lang="tr-TR" sz="900" b="0" i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Cambria Math"/>
                                                            <a:ea typeface="+mn-ea"/>
                                                            <a:cs typeface="+mn-cs"/>
                                                          </a:rPr>
                                                          <m:t>1</m:t>
                                                        </m:r>
                                                      </m:e>
                                                    </m:d>
                                                  </m:e>
                                                </m:func>
                                                <m:r>
                                                  <a:rPr lang="tr-TR" sz="9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+</m:t>
                                                </m:r>
                                                <m:sSup>
                                                  <m:sSupPr>
                                                    <m:ctrlPr>
                                                      <a:rPr lang="tr-TR" sz="900" b="0" i="1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</m:ctrlPr>
                                                  </m:sSupPr>
                                                  <m:e>
                                                    <m:d>
                                                      <m:dPr>
                                                        <m:ctrlPr>
                                                          <a:rPr lang="tr-TR" sz="900" b="0" i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Cambria Math" panose="02040503050406030204" pitchFamily="18" charset="0"/>
                                                            <a:ea typeface="+mn-ea"/>
                                                            <a:cs typeface="+mn-cs"/>
                                                          </a:rPr>
                                                        </m:ctrlPr>
                                                      </m:dPr>
                                                      <m:e>
                                                        <m:f>
                                                          <m:fPr>
                                                            <m:ctrlPr>
                                                              <a:rPr lang="tr-TR" sz="900" b="0" i="1" baseline="-25000">
                                                                <a:solidFill>
                                                                  <a:schemeClr val="dk1"/>
                                                                </a:solidFill>
                                                                <a:effectLst/>
                                                                <a:latin typeface="Cambria Math" panose="02040503050406030204" pitchFamily="18" charset="0"/>
                                                                <a:ea typeface="+mn-ea"/>
                                                                <a:cs typeface="+mn-cs"/>
                                                              </a:rPr>
                                                            </m:ctrlPr>
                                                          </m:fPr>
                                                          <m:num>
                                                            <m:r>
                                                              <a:rPr lang="tr-TR" sz="900" b="0" i="1">
                                                                <a:solidFill>
                                                                  <a:schemeClr val="dk1"/>
                                                                </a:solidFill>
                                                                <a:effectLst/>
                                                                <a:latin typeface="Cambria Math"/>
                                                                <a:ea typeface="+mn-ea"/>
                                                                <a:cs typeface="+mn-cs"/>
                                                              </a:rPr>
                                                              <m:t>𝑎</m:t>
                                                            </m:r>
                                                            <m:r>
                                                              <a:rPr lang="tr-TR" sz="900" b="0" i="1" baseline="-25000">
                                                                <a:solidFill>
                                                                  <a:schemeClr val="dk1"/>
                                                                </a:solidFill>
                                                                <a:effectLst/>
                                                                <a:latin typeface="Cambria Math"/>
                                                                <a:ea typeface="+mn-ea"/>
                                                                <a:cs typeface="+mn-cs"/>
                                                              </a:rPr>
                                                              <m:t>𝑏𝑖</m:t>
                                                            </m:r>
                                                          </m:num>
                                                          <m:den>
                                                            <m:r>
                                                              <a:rPr lang="tr-TR" sz="900" b="0" i="1">
                                                                <a:solidFill>
                                                                  <a:schemeClr val="dk1"/>
                                                                </a:solidFill>
                                                                <a:effectLst/>
                                                                <a:latin typeface="Cambria Math"/>
                                                                <a:ea typeface="+mn-ea"/>
                                                                <a:cs typeface="+mn-cs"/>
                                                              </a:rPr>
                                                              <m:t>𝑑</m:t>
                                                            </m:r>
                                                          </m:den>
                                                        </m:f>
                                                      </m:e>
                                                    </m:d>
                                                  </m:e>
                                                  <m:sup>
                                                    <m:r>
                                                      <a:rPr lang="tr-TR" sz="900" b="0" i="1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𝑛</m:t>
                                                    </m:r>
                                                    <m:r>
                                                      <a:rPr lang="tr-TR" sz="900" b="0" i="1" baseline="-25000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𝑏𝑖</m:t>
                                                    </m:r>
                                                  </m:sup>
                                                </m:sSup>
                                              </m:e>
                                            </m:d>
                                          </m:e>
                                        </m:func>
                                      </m:e>
                                    </m:d>
                                  </m:e>
                                  <m:sup>
                                    <m:r>
                                      <a:rPr lang="tr-TR" sz="9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𝑚</m:t>
                                    </m:r>
                                    <m:r>
                                      <a:rPr lang="tr-TR" sz="900" b="0" i="1" baseline="-25000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𝑏𝑖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  <m:r>
                          <a:rPr lang="tr-TR" sz="900" b="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d>
                          <m:dPr>
                            <m:ctrlPr>
                              <a:rPr lang="tr-TR" sz="900" b="0" i="1" baseline="-2500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tr-TR" sz="9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1−</m:t>
                            </m:r>
                            <m:r>
                              <a:rPr lang="tr-TR" sz="9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𝑤</m:t>
                            </m:r>
                          </m:e>
                        </m:d>
                        <m:d>
                          <m:dPr>
                            <m:begChr m:val="["/>
                            <m:endChr m:val="]"/>
                            <m:ctrlPr>
                              <a:rPr lang="tr-TR" sz="9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tr-TR" sz="9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tr-TR" sz="9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num>
                              <m:den>
                                <m:sSup>
                                  <m:sSupPr>
                                    <m:ctrlPr>
                                      <a:rPr lang="tr-TR" sz="900" b="0" i="1" baseline="-25000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begChr m:val="{"/>
                                        <m:endChr m:val="}"/>
                                        <m:ctrlPr>
                                          <a:rPr lang="tr-TR" sz="9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func>
                                          <m:funcPr>
                                            <m:ctrlPr>
                                              <a:rPr lang="tr-TR" sz="9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funcPr>
                                          <m:fName>
                                            <m:r>
                                              <m:rPr>
                                                <m:sty m:val="p"/>
                                              </m:rPr>
                                              <a:rPr lang="tr-TR" sz="900" b="0" i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ln</m:t>
                                            </m:r>
                                          </m:fName>
                                          <m:e>
                                            <m:d>
                                              <m:dPr>
                                                <m:begChr m:val="["/>
                                                <m:endChr m:val="]"/>
                                                <m:ctrlPr>
                                                  <a:rPr lang="tr-TR" sz="9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dPr>
                                              <m:e>
                                                <m:func>
                                                  <m:funcPr>
                                                    <m:ctrlPr>
                                                      <a:rPr lang="tr-TR" sz="900" b="0" i="1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</m:ctrlPr>
                                                  </m:funcPr>
                                                  <m:fName>
                                                    <m:r>
                                                      <m:rPr>
                                                        <m:sty m:val="p"/>
                                                      </m:rPr>
                                                      <a:rPr lang="tr-TR" sz="900" b="0" i="0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exp</m:t>
                                                    </m:r>
                                                  </m:fName>
                                                  <m:e>
                                                    <m:d>
                                                      <m:dPr>
                                                        <m:ctrlPr>
                                                          <a:rPr lang="tr-TR" sz="900" b="0" i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Cambria Math" panose="02040503050406030204" pitchFamily="18" charset="0"/>
                                                            <a:ea typeface="+mn-ea"/>
                                                            <a:cs typeface="+mn-cs"/>
                                                          </a:rPr>
                                                        </m:ctrlPr>
                                                      </m:dPr>
                                                      <m:e>
                                                        <m:r>
                                                          <a:rPr lang="tr-TR" sz="900" b="0" i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Cambria Math"/>
                                                            <a:ea typeface="+mn-ea"/>
                                                            <a:cs typeface="+mn-cs"/>
                                                          </a:rPr>
                                                          <m:t>1</m:t>
                                                        </m:r>
                                                      </m:e>
                                                    </m:d>
                                                  </m:e>
                                                </m:func>
                                                <m:r>
                                                  <a:rPr lang="tr-TR" sz="9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+</m:t>
                                                </m:r>
                                                <m:sSup>
                                                  <m:sSupPr>
                                                    <m:ctrlPr>
                                                      <a:rPr lang="tr-TR" sz="900" b="0" i="1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 panose="02040503050406030204" pitchFamily="18" charset="0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</m:ctrlPr>
                                                  </m:sSupPr>
                                                  <m:e>
                                                    <m:d>
                                                      <m:dPr>
                                                        <m:ctrlPr>
                                                          <a:rPr lang="tr-TR" sz="900" b="0" i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Cambria Math" panose="02040503050406030204" pitchFamily="18" charset="0"/>
                                                            <a:ea typeface="+mn-ea"/>
                                                            <a:cs typeface="+mn-cs"/>
                                                          </a:rPr>
                                                        </m:ctrlPr>
                                                      </m:dPr>
                                                      <m:e>
                                                        <m:f>
                                                          <m:fPr>
                                                            <m:ctrlPr>
                                                              <a:rPr lang="tr-TR" sz="900" b="0" i="1" baseline="-25000">
                                                                <a:solidFill>
                                                                  <a:schemeClr val="dk1"/>
                                                                </a:solidFill>
                                                                <a:effectLst/>
                                                                <a:latin typeface="Cambria Math" panose="02040503050406030204" pitchFamily="18" charset="0"/>
                                                                <a:ea typeface="+mn-ea"/>
                                                                <a:cs typeface="+mn-cs"/>
                                                              </a:rPr>
                                                            </m:ctrlPr>
                                                          </m:fPr>
                                                          <m:num>
                                                            <m:r>
                                                              <a:rPr lang="tr-TR" sz="900" b="0" i="1">
                                                                <a:solidFill>
                                                                  <a:schemeClr val="dk1"/>
                                                                </a:solidFill>
                                                                <a:effectLst/>
                                                                <a:latin typeface="Cambria Math"/>
                                                                <a:ea typeface="+mn-ea"/>
                                                                <a:cs typeface="+mn-cs"/>
                                                              </a:rPr>
                                                              <m:t>𝑗</m:t>
                                                            </m:r>
                                                            <m:r>
                                                              <a:rPr lang="tr-TR" sz="900" b="0" i="1" baseline="-25000">
                                                                <a:solidFill>
                                                                  <a:schemeClr val="dk1"/>
                                                                </a:solidFill>
                                                                <a:effectLst/>
                                                                <a:latin typeface="Cambria Math"/>
                                                                <a:ea typeface="+mn-ea"/>
                                                                <a:cs typeface="+mn-cs"/>
                                                              </a:rPr>
                                                              <m:t>𝑏𝑖</m:t>
                                                            </m:r>
                                                          </m:num>
                                                          <m:den>
                                                            <m:r>
                                                              <a:rPr lang="tr-TR" sz="900" b="0" i="1">
                                                                <a:solidFill>
                                                                  <a:schemeClr val="dk1"/>
                                                                </a:solidFill>
                                                                <a:effectLst/>
                                                                <a:latin typeface="Cambria Math"/>
                                                                <a:ea typeface="+mn-ea"/>
                                                                <a:cs typeface="+mn-cs"/>
                                                              </a:rPr>
                                                              <m:t>𝑑</m:t>
                                                            </m:r>
                                                          </m:den>
                                                        </m:f>
                                                      </m:e>
                                                    </m:d>
                                                  </m:e>
                                                  <m:sup>
                                                    <m:r>
                                                      <a:rPr lang="tr-TR" sz="900" b="0" i="1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𝑘</m:t>
                                                    </m:r>
                                                    <m:r>
                                                      <a:rPr lang="tr-TR" sz="900" b="0" i="1" baseline="-25000">
                                                        <a:solidFill>
                                                          <a:schemeClr val="dk1"/>
                                                        </a:solidFill>
                                                        <a:effectLst/>
                                                        <a:latin typeface="Cambria Math"/>
                                                        <a:ea typeface="+mn-ea"/>
                                                        <a:cs typeface="+mn-cs"/>
                                                      </a:rPr>
                                                      <m:t>𝑏𝑖</m:t>
                                                    </m:r>
                                                  </m:sup>
                                                </m:sSup>
                                              </m:e>
                                            </m:d>
                                          </m:e>
                                        </m:func>
                                      </m:e>
                                    </m:d>
                                  </m:e>
                                  <m:sup>
                                    <m:r>
                                      <a:rPr lang="tr-TR" sz="900" b="0" i="1" baseline="-25000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𝑙𝑏𝑖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</m:d>
                  </m:oMath>
                </m:oMathPara>
              </a14:m>
              <a:endParaRPr lang="tr-TR" sz="1100" b="0" i="1" baseline="-25000">
                <a:solidFill>
                  <a:schemeClr val="dk1"/>
                </a:solidFill>
                <a:effectLst/>
                <a:latin typeface="Cambria Math"/>
                <a:ea typeface="+mn-ea"/>
                <a:cs typeface="+mn-cs"/>
              </a:endParaRPr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tr-TR" sz="1100" b="0" i="1" baseline="-25000">
                        <a:solidFill>
                          <a:schemeClr val="dk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𝑋</m:t>
                    </m:r>
                    <m:d>
                      <m:dPr>
                        <m:begChr m:val="{"/>
                        <m:endChr m:val="}"/>
                        <m:ctrlPr>
                          <a:rPr lang="tr-TR" sz="1100" b="0" i="1" baseline="-25000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tr-TR" sz="1100" b="0" i="1">
                            <a:solidFill>
                              <a:schemeClr val="dk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1−</m:t>
                        </m:r>
                        <m:sSup>
                          <m:sSupPr>
                            <m:ctrlPr>
                              <a:rPr lang="tr-TR" sz="1100" b="0" i="1" baseline="-25000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tr-TR" sz="11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tr-TR" sz="11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func>
                                      <m:funcPr>
                                        <m:ctrlPr>
                                          <a:rPr lang="tr-TR" sz="11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uncPr>
                                      <m:fName>
                                        <m:r>
                                          <m:rPr>
                                            <m:sty m:val="p"/>
                                          </m:rPr>
                                          <a:rPr lang="tr-TR" sz="1100" b="0" i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ln</m:t>
                                        </m:r>
                                      </m:fName>
                                      <m:e>
                                        <m:d>
                                          <m:dPr>
                                            <m:ctrlPr>
                                              <a:rPr lang="tr-TR" sz="11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tr-TR" sz="11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1+</m:t>
                                            </m:r>
                                            <m:f>
                                              <m:fPr>
                                                <m:ctrlPr>
                                                  <a:rPr lang="tr-TR" sz="1100" b="0" i="1" baseline="-2500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fPr>
                                              <m:num>
                                                <m:r>
                                                  <a:rPr lang="tr-TR" sz="11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𝑑</m:t>
                                                </m:r>
                                                <m:r>
                                                  <a:rPr lang="tr-TR" sz="1100" b="0" i="1" baseline="-2500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𝑟𝑏𝑖</m:t>
                                                </m:r>
                                              </m:num>
                                              <m:den>
                                                <m:r>
                                                  <a:rPr lang="tr-TR" sz="11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𝑑</m:t>
                                                </m:r>
                                              </m:den>
                                            </m:f>
                                          </m:e>
                                        </m:d>
                                      </m:e>
                                    </m:func>
                                  </m:num>
                                  <m:den>
                                    <m:func>
                                      <m:funcPr>
                                        <m:ctrlPr>
                                          <a:rPr lang="tr-TR" sz="1100" b="0" i="1" baseline="-2500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uncPr>
                                      <m:fName>
                                        <m:r>
                                          <m:rPr>
                                            <m:sty m:val="p"/>
                                          </m:rPr>
                                          <a:rPr lang="tr-TR" sz="1100" b="0" i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ln</m:t>
                                        </m:r>
                                      </m:fName>
                                      <m:e>
                                        <m:d>
                                          <m:dPr>
                                            <m:ctrlPr>
                                              <a:rPr lang="tr-TR" sz="11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tr-TR" sz="11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/>
                                                <a:ea typeface="+mn-ea"/>
                                                <a:cs typeface="+mn-cs"/>
                                              </a:rPr>
                                              <m:t>1+</m:t>
                                            </m:r>
                                            <m:f>
                                              <m:fPr>
                                                <m:ctrlPr>
                                                  <a:rPr lang="tr-TR" sz="1100" b="0" i="1" baseline="-2500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fPr>
                                              <m:num>
                                                <m:r>
                                                  <a:rPr lang="tr-TR" sz="11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𝑑</m:t>
                                                </m:r>
                                                <m:r>
                                                  <a:rPr lang="tr-TR" sz="1100" b="0" i="1" baseline="-2500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𝑟𝑏𝑖</m:t>
                                                </m:r>
                                              </m:num>
                                              <m:den>
                                                <m:r>
                                                  <a:rPr lang="tr-TR" sz="1100" b="0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𝑑</m:t>
                                                </m:r>
                                                <m:r>
                                                  <a:rPr lang="tr-TR" sz="1100" b="0" i="1" baseline="-2500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/>
                                                    <a:ea typeface="+mn-ea"/>
                                                    <a:cs typeface="+mn-cs"/>
                                                  </a:rPr>
                                                  <m:t>𝑚</m:t>
                                                </m:r>
                                              </m:den>
                                            </m:f>
                                          </m:e>
                                        </m:d>
                                      </m:e>
                                    </m:func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tr-TR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7</m:t>
                            </m:r>
                          </m:sup>
                        </m:sSup>
                      </m:e>
                    </m:d>
                  </m:oMath>
                </m:oMathPara>
              </a14:m>
              <a:endParaRPr lang="tr-TR" sz="1100"/>
            </a:p>
          </xdr:txBody>
        </xdr:sp>
      </mc:Choice>
      <mc:Fallback xmlns="">
        <xdr:sp macro="" textlink="">
          <xdr:nvSpPr>
            <xdr:cNvPr id="3" name="Metin kutusu 2"/>
            <xdr:cNvSpPr txBox="1"/>
          </xdr:nvSpPr>
          <xdr:spPr>
            <a:xfrm>
              <a:off x="142875" y="4032951"/>
              <a:ext cx="3762376" cy="1548699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numCol="1" rtlCol="0" anchor="ctr" anchorCtr="0">
              <a:noAutofit/>
            </a:bodyPr>
            <a:lstStyle/>
            <a:p>
              <a:pPr algn="ctr"/>
              <a:r>
                <a:rPr lang="tr-TR" sz="900" b="0" i="0">
                  <a:latin typeface="Cambria Math"/>
                </a:rPr>
                <a:t>𝑃</a:t>
              </a:r>
              <a:r>
                <a:rPr lang="tr-TR" sz="900" b="0" i="0" baseline="-25000">
                  <a:latin typeface="Cambria Math"/>
                </a:rPr>
                <a:t>𝑝</a:t>
              </a:r>
              <a:r>
                <a:rPr lang="tr-TR" sz="900" b="0" i="0" baseline="-25000">
                  <a:latin typeface="Cambria Math" panose="02040503050406030204" pitchFamily="18" charset="0"/>
                </a:rPr>
                <a:t>(</a:t>
              </a:r>
              <a:r>
                <a:rPr lang="tr-TR" sz="900" b="0" i="0">
                  <a:latin typeface="Cambria Math"/>
                </a:rPr>
                <a:t>𝑑</a:t>
              </a:r>
              <a:r>
                <a:rPr lang="tr-TR" sz="900" b="0" i="0">
                  <a:latin typeface="Cambria Math" panose="02040503050406030204" pitchFamily="18" charset="0"/>
                </a:rPr>
                <a:t>)={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𝑤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/{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ln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⁡[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exp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𝑎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𝑏𝑖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𝑑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𝑛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𝑏𝑖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 }^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𝑚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𝑏𝑖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1−𝑤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)[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/{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ln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⁡[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exp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𝑗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𝑏𝑖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𝑑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lang="tr-TR" sz="9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𝑘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𝑏𝑖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 }^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𝑙𝑏𝑖</a:t>
              </a:r>
              <a:r>
                <a:rPr lang="tr-TR" sz="9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]}</a:t>
              </a:r>
              <a:endParaRPr lang="tr-TR" sz="1100" b="0" i="1" baseline="-25000">
                <a:solidFill>
                  <a:schemeClr val="dk1"/>
                </a:solidFill>
                <a:effectLst/>
                <a:latin typeface="Cambria Math"/>
                <a:ea typeface="+mn-ea"/>
                <a:cs typeface="+mn-cs"/>
              </a:endParaRPr>
            </a:p>
            <a:p>
              <a:pPr algn="ctr"/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𝑋</a:t>
              </a:r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1−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[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ln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1+𝑑</a:t>
              </a:r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𝑟𝑏𝑖</a:t>
              </a:r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𝑑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ln</a:t>
              </a:r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1+𝑑</a:t>
              </a:r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𝑟𝑏𝑖</a:t>
              </a:r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𝑑</a:t>
              </a:r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𝑚</a:t>
              </a:r>
              <a:r>
                <a:rPr lang="tr-TR" sz="1100" b="0" i="0" baseline="-250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]^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/>
                  <a:ea typeface="+mn-ea"/>
                  <a:cs typeface="+mn-cs"/>
                </a:rPr>
                <a:t>7</a:t>
              </a:r>
              <a:r>
                <a:rPr lang="tr-T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}</a:t>
              </a:r>
              <a:endParaRPr lang="tr-TR" sz="1100"/>
            </a:p>
          </xdr:txBody>
        </xdr:sp>
      </mc:Fallback>
    </mc:AlternateContent>
    <xdr:clientData/>
  </xdr:oneCellAnchor>
  <xdr:twoCellAnchor>
    <xdr:from>
      <xdr:col>17</xdr:col>
      <xdr:colOff>1</xdr:colOff>
      <xdr:row>1</xdr:row>
      <xdr:rowOff>0</xdr:rowOff>
    </xdr:from>
    <xdr:to>
      <xdr:col>28</xdr:col>
      <xdr:colOff>544287</xdr:colOff>
      <xdr:row>26</xdr:row>
      <xdr:rowOff>61376</xdr:rowOff>
    </xdr:to>
    <xdr:graphicFrame macro="">
      <xdr:nvGraphicFramePr>
        <xdr:cNvPr id="6" name="Grafik 1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16</xdr:row>
      <xdr:rowOff>38100</xdr:rowOff>
    </xdr:from>
    <xdr:to>
      <xdr:col>5</xdr:col>
      <xdr:colOff>466725</xdr:colOff>
      <xdr:row>18</xdr:row>
      <xdr:rowOff>142875</xdr:rowOff>
    </xdr:to>
    <xdr:sp macro="[0]!bimodal_solv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42875" y="3114675"/>
          <a:ext cx="2695575" cy="485775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2000" b="1"/>
            <a:t>HESAPLA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0"/>
  <sheetViews>
    <sheetView workbookViewId="0">
      <selection activeCell="N14" sqref="N14"/>
    </sheetView>
  </sheetViews>
  <sheetFormatPr defaultRowHeight="15" x14ac:dyDescent="0.25"/>
  <cols>
    <col min="12" max="12" width="8.28515625" customWidth="1"/>
  </cols>
  <sheetData>
    <row r="20" ht="10.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O43"/>
  <sheetViews>
    <sheetView view="pageBreakPreview" topLeftCell="A25" zoomScaleNormal="100" zoomScaleSheetLayoutView="100" workbookViewId="0">
      <selection sqref="A1:O35"/>
    </sheetView>
  </sheetViews>
  <sheetFormatPr defaultRowHeight="15.75" x14ac:dyDescent="0.25"/>
  <cols>
    <col min="1" max="1" width="4.42578125" style="3" customWidth="1"/>
    <col min="2" max="2" width="9.7109375" style="3" customWidth="1"/>
    <col min="3" max="3" width="1.7109375" style="3" customWidth="1"/>
    <col min="4" max="4" width="4.42578125" style="3" customWidth="1"/>
    <col min="5" max="5" width="9.7109375" style="3" customWidth="1"/>
    <col min="6" max="6" width="1.7109375" style="3" customWidth="1"/>
    <col min="7" max="7" width="4.7109375" style="3" customWidth="1"/>
    <col min="8" max="8" width="9.7109375" style="3" customWidth="1"/>
    <col min="9" max="9" width="1.7109375" style="3" customWidth="1"/>
    <col min="10" max="10" width="4.7109375" style="3" customWidth="1"/>
    <col min="11" max="11" width="9.7109375" style="3" customWidth="1"/>
    <col min="12" max="12" width="1.7109375" style="3" customWidth="1"/>
    <col min="13" max="13" width="4.7109375" style="2" customWidth="1"/>
    <col min="14" max="15" width="14.140625" style="3" customWidth="1"/>
    <col min="16" max="16384" width="9.140625" style="4"/>
  </cols>
  <sheetData>
    <row r="1" spans="1:15" ht="16.5" thickTop="1" x14ac:dyDescent="0.25">
      <c r="A1" s="38" t="s">
        <v>10</v>
      </c>
      <c r="B1" s="39" t="s">
        <v>6</v>
      </c>
      <c r="C1" s="39"/>
      <c r="D1" s="39" t="s">
        <v>10</v>
      </c>
      <c r="E1" s="40" t="s">
        <v>6</v>
      </c>
      <c r="F1" s="20"/>
      <c r="G1" s="38" t="s">
        <v>10</v>
      </c>
      <c r="H1" s="41" t="s">
        <v>6</v>
      </c>
      <c r="I1" s="42"/>
      <c r="J1" s="39" t="s">
        <v>10</v>
      </c>
      <c r="K1" s="40" t="s">
        <v>6</v>
      </c>
      <c r="L1" s="20"/>
      <c r="M1" s="38" t="s">
        <v>10</v>
      </c>
      <c r="N1" s="39" t="s">
        <v>6</v>
      </c>
      <c r="O1" s="40" t="s">
        <v>7</v>
      </c>
    </row>
    <row r="2" spans="1:15" ht="24" customHeight="1" x14ac:dyDescent="0.25">
      <c r="A2" s="163" t="s">
        <v>5</v>
      </c>
      <c r="B2" s="164"/>
      <c r="C2" s="164"/>
      <c r="D2" s="164"/>
      <c r="E2" s="165"/>
      <c r="F2" s="1"/>
      <c r="G2" s="166" t="s">
        <v>9</v>
      </c>
      <c r="H2" s="167"/>
      <c r="I2" s="36"/>
      <c r="J2" s="168" t="s">
        <v>8</v>
      </c>
      <c r="K2" s="169"/>
      <c r="L2" s="1"/>
      <c r="M2" s="157" t="s">
        <v>15</v>
      </c>
      <c r="N2" s="158"/>
      <c r="O2" s="159"/>
    </row>
    <row r="3" spans="1:15" s="9" customFormat="1" ht="24" customHeight="1" x14ac:dyDescent="0.25">
      <c r="A3" s="5">
        <v>2</v>
      </c>
      <c r="B3" s="48">
        <v>47.2</v>
      </c>
      <c r="C3" s="43"/>
      <c r="D3" s="11">
        <v>218</v>
      </c>
      <c r="E3" s="51">
        <v>46.92</v>
      </c>
      <c r="F3" s="7"/>
      <c r="G3" s="28">
        <v>2</v>
      </c>
      <c r="H3" s="29">
        <v>97</v>
      </c>
      <c r="I3" s="37"/>
      <c r="J3" s="34">
        <v>1</v>
      </c>
      <c r="K3" s="35">
        <v>120.6</v>
      </c>
      <c r="L3" s="8"/>
      <c r="M3" s="13">
        <v>1</v>
      </c>
      <c r="N3" s="22">
        <v>3056</v>
      </c>
      <c r="O3" s="25">
        <v>925</v>
      </c>
    </row>
    <row r="4" spans="1:15" s="9" customFormat="1" ht="24" customHeight="1" x14ac:dyDescent="0.25">
      <c r="A4" s="10">
        <v>3</v>
      </c>
      <c r="B4" s="49">
        <v>51.36</v>
      </c>
      <c r="C4" s="43"/>
      <c r="D4" s="6">
        <v>224</v>
      </c>
      <c r="E4" s="50">
        <v>32.86</v>
      </c>
      <c r="F4" s="7"/>
      <c r="G4" s="32">
        <v>3</v>
      </c>
      <c r="H4" s="33">
        <v>103.6</v>
      </c>
      <c r="I4" s="37"/>
      <c r="J4" s="30">
        <v>2</v>
      </c>
      <c r="K4" s="31">
        <v>118.4</v>
      </c>
      <c r="L4" s="8"/>
      <c r="M4" s="12">
        <v>2</v>
      </c>
      <c r="N4" s="23">
        <v>3086</v>
      </c>
      <c r="O4" s="26">
        <v>920</v>
      </c>
    </row>
    <row r="5" spans="1:15" s="9" customFormat="1" ht="24" customHeight="1" x14ac:dyDescent="0.25">
      <c r="A5" s="5">
        <v>4</v>
      </c>
      <c r="B5" s="48">
        <v>45.7</v>
      </c>
      <c r="C5" s="43"/>
      <c r="D5" s="11">
        <v>261</v>
      </c>
      <c r="E5" s="51">
        <v>48.71</v>
      </c>
      <c r="F5" s="7"/>
      <c r="G5" s="28">
        <v>4</v>
      </c>
      <c r="H5" s="29">
        <v>101.5</v>
      </c>
      <c r="I5" s="37"/>
      <c r="J5" s="34">
        <v>3</v>
      </c>
      <c r="K5" s="35">
        <v>121.2</v>
      </c>
      <c r="L5" s="8"/>
      <c r="M5" s="157" t="s">
        <v>16</v>
      </c>
      <c r="N5" s="158"/>
      <c r="O5" s="159"/>
    </row>
    <row r="6" spans="1:15" s="9" customFormat="1" ht="24" customHeight="1" x14ac:dyDescent="0.25">
      <c r="A6" s="10">
        <v>6</v>
      </c>
      <c r="B6" s="49">
        <v>48.66</v>
      </c>
      <c r="C6" s="43"/>
      <c r="D6" s="6">
        <v>267</v>
      </c>
      <c r="E6" s="50">
        <v>53.09</v>
      </c>
      <c r="F6" s="7"/>
      <c r="G6" s="32">
        <v>5</v>
      </c>
      <c r="H6" s="33">
        <v>92.6</v>
      </c>
      <c r="I6" s="37"/>
      <c r="J6" s="30">
        <v>4</v>
      </c>
      <c r="K6" s="31">
        <v>95.6</v>
      </c>
      <c r="L6" s="8"/>
      <c r="M6" s="13">
        <v>3</v>
      </c>
      <c r="N6" s="22">
        <v>5080</v>
      </c>
      <c r="O6" s="25">
        <v>2094</v>
      </c>
    </row>
    <row r="7" spans="1:15" s="9" customFormat="1" ht="24" customHeight="1" x14ac:dyDescent="0.25">
      <c r="A7" s="5">
        <v>9</v>
      </c>
      <c r="B7" s="48">
        <v>49.04</v>
      </c>
      <c r="C7" s="43"/>
      <c r="D7" s="11">
        <v>273</v>
      </c>
      <c r="E7" s="51">
        <v>49</v>
      </c>
      <c r="F7" s="7"/>
      <c r="G7" s="28">
        <v>9</v>
      </c>
      <c r="H7" s="29">
        <v>100.7</v>
      </c>
      <c r="I7" s="37"/>
      <c r="J7" s="34">
        <v>5</v>
      </c>
      <c r="K7" s="35">
        <v>93.7</v>
      </c>
      <c r="L7" s="8"/>
      <c r="M7" s="12">
        <v>4</v>
      </c>
      <c r="N7" s="23">
        <v>5144</v>
      </c>
      <c r="O7" s="26">
        <v>2107</v>
      </c>
    </row>
    <row r="8" spans="1:15" s="9" customFormat="1" ht="24" customHeight="1" x14ac:dyDescent="0.25">
      <c r="A8" s="10">
        <v>15</v>
      </c>
      <c r="B8" s="49">
        <v>45.3</v>
      </c>
      <c r="C8" s="43"/>
      <c r="D8" s="6">
        <v>278</v>
      </c>
      <c r="E8" s="50">
        <v>50.31</v>
      </c>
      <c r="F8" s="7"/>
      <c r="G8" s="32">
        <v>13</v>
      </c>
      <c r="H8" s="33">
        <v>95</v>
      </c>
      <c r="I8" s="37"/>
      <c r="J8" s="30">
        <v>6</v>
      </c>
      <c r="K8" s="31">
        <v>93.6</v>
      </c>
      <c r="L8" s="8"/>
      <c r="M8" s="13">
        <v>5</v>
      </c>
      <c r="N8" s="22">
        <v>5164</v>
      </c>
      <c r="O8" s="25">
        <v>2113</v>
      </c>
    </row>
    <row r="9" spans="1:15" s="9" customFormat="1" ht="24" customHeight="1" x14ac:dyDescent="0.25">
      <c r="A9" s="5">
        <v>32</v>
      </c>
      <c r="B9" s="48">
        <v>48.85</v>
      </c>
      <c r="C9" s="43"/>
      <c r="D9" s="11">
        <v>284</v>
      </c>
      <c r="E9" s="51">
        <v>48</v>
      </c>
      <c r="F9" s="7"/>
      <c r="G9" s="28">
        <v>14</v>
      </c>
      <c r="H9" s="29">
        <v>100.5</v>
      </c>
      <c r="I9" s="37"/>
      <c r="J9" s="34">
        <v>7</v>
      </c>
      <c r="K9" s="35">
        <v>122.8</v>
      </c>
      <c r="L9" s="8"/>
      <c r="M9" s="157" t="s">
        <v>17</v>
      </c>
      <c r="N9" s="158"/>
      <c r="O9" s="159"/>
    </row>
    <row r="10" spans="1:15" s="9" customFormat="1" ht="24" customHeight="1" x14ac:dyDescent="0.25">
      <c r="A10" s="10">
        <v>36</v>
      </c>
      <c r="B10" s="49">
        <v>52.26</v>
      </c>
      <c r="C10" s="43"/>
      <c r="D10" s="6">
        <v>291</v>
      </c>
      <c r="E10" s="50">
        <v>49.44</v>
      </c>
      <c r="F10" s="7"/>
      <c r="G10" s="32">
        <v>15</v>
      </c>
      <c r="H10" s="33">
        <v>96.6</v>
      </c>
      <c r="I10" s="37"/>
      <c r="J10" s="30">
        <v>8</v>
      </c>
      <c r="K10" s="31">
        <v>122.1</v>
      </c>
      <c r="L10" s="8"/>
      <c r="M10" s="12">
        <v>3</v>
      </c>
      <c r="N10" s="23">
        <v>6641</v>
      </c>
      <c r="O10" s="26">
        <v>2122</v>
      </c>
    </row>
    <row r="11" spans="1:15" s="9" customFormat="1" ht="24" customHeight="1" x14ac:dyDescent="0.25">
      <c r="A11" s="5">
        <v>47</v>
      </c>
      <c r="B11" s="48">
        <v>51.22</v>
      </c>
      <c r="C11" s="43"/>
      <c r="D11" s="11">
        <v>303</v>
      </c>
      <c r="E11" s="51">
        <v>47.06</v>
      </c>
      <c r="F11" s="7"/>
      <c r="G11" s="28">
        <v>16</v>
      </c>
      <c r="H11" s="29">
        <v>97.6</v>
      </c>
      <c r="I11" s="37"/>
      <c r="J11" s="34">
        <v>9</v>
      </c>
      <c r="K11" s="35">
        <v>94.6</v>
      </c>
      <c r="L11" s="8"/>
      <c r="M11" s="157" t="s">
        <v>12</v>
      </c>
      <c r="N11" s="158"/>
      <c r="O11" s="159"/>
    </row>
    <row r="12" spans="1:15" s="9" customFormat="1" ht="24" customHeight="1" x14ac:dyDescent="0.25">
      <c r="A12" s="10">
        <v>48</v>
      </c>
      <c r="B12" s="49">
        <v>49.35</v>
      </c>
      <c r="C12" s="43"/>
      <c r="D12" s="6">
        <v>327</v>
      </c>
      <c r="E12" s="50">
        <v>48.67</v>
      </c>
      <c r="F12" s="7"/>
      <c r="G12" s="32">
        <v>17</v>
      </c>
      <c r="H12" s="33">
        <v>96.6</v>
      </c>
      <c r="I12" s="37"/>
      <c r="J12" s="30">
        <v>10</v>
      </c>
      <c r="K12" s="31">
        <v>91.1</v>
      </c>
      <c r="L12" s="8"/>
      <c r="M12" s="13">
        <v>1</v>
      </c>
      <c r="N12" s="22">
        <v>5319</v>
      </c>
      <c r="O12" s="25">
        <v>2124</v>
      </c>
    </row>
    <row r="13" spans="1:15" s="9" customFormat="1" ht="24" customHeight="1" x14ac:dyDescent="0.25">
      <c r="A13" s="5">
        <v>63</v>
      </c>
      <c r="B13" s="48">
        <v>35.43</v>
      </c>
      <c r="C13" s="43"/>
      <c r="D13" s="11">
        <v>338</v>
      </c>
      <c r="E13" s="51">
        <v>46.9</v>
      </c>
      <c r="F13" s="7"/>
      <c r="G13" s="28">
        <v>18</v>
      </c>
      <c r="H13" s="29">
        <v>81</v>
      </c>
      <c r="I13" s="37"/>
      <c r="J13" s="34">
        <v>11</v>
      </c>
      <c r="K13" s="35">
        <v>123.2</v>
      </c>
      <c r="L13" s="8"/>
      <c r="M13" s="12">
        <v>2</v>
      </c>
      <c r="N13" s="23">
        <v>5226</v>
      </c>
      <c r="O13" s="26">
        <v>2124</v>
      </c>
    </row>
    <row r="14" spans="1:15" s="9" customFormat="1" ht="24" customHeight="1" x14ac:dyDescent="0.25">
      <c r="A14" s="10">
        <v>77</v>
      </c>
      <c r="B14" s="49">
        <v>49.69</v>
      </c>
      <c r="C14" s="43"/>
      <c r="D14" s="6">
        <v>339</v>
      </c>
      <c r="E14" s="50">
        <v>45.54</v>
      </c>
      <c r="F14" s="7"/>
      <c r="G14" s="32">
        <v>20</v>
      </c>
      <c r="H14" s="33">
        <v>103.6</v>
      </c>
      <c r="I14" s="37"/>
      <c r="J14" s="30">
        <v>12</v>
      </c>
      <c r="K14" s="31">
        <v>97.1</v>
      </c>
      <c r="L14" s="8"/>
      <c r="M14" s="13">
        <v>5</v>
      </c>
      <c r="N14" s="22">
        <v>5260</v>
      </c>
      <c r="O14" s="25">
        <v>2124</v>
      </c>
    </row>
    <row r="15" spans="1:15" s="9" customFormat="1" ht="24" customHeight="1" x14ac:dyDescent="0.25">
      <c r="A15" s="5">
        <v>81</v>
      </c>
      <c r="B15" s="48">
        <v>45.2</v>
      </c>
      <c r="C15" s="43"/>
      <c r="D15" s="11">
        <v>347</v>
      </c>
      <c r="E15" s="51">
        <v>49.85</v>
      </c>
      <c r="F15" s="7"/>
      <c r="G15" s="28">
        <v>21</v>
      </c>
      <c r="H15" s="29">
        <v>98.2</v>
      </c>
      <c r="I15" s="37"/>
      <c r="J15" s="34">
        <v>13</v>
      </c>
      <c r="K15" s="35">
        <v>94.1</v>
      </c>
      <c r="L15" s="8"/>
      <c r="M15" s="12">
        <v>6</v>
      </c>
      <c r="N15" s="23">
        <v>5192</v>
      </c>
      <c r="O15" s="26">
        <v>2124</v>
      </c>
    </row>
    <row r="16" spans="1:15" s="9" customFormat="1" ht="24" customHeight="1" x14ac:dyDescent="0.25">
      <c r="A16" s="10">
        <v>91</v>
      </c>
      <c r="B16" s="49">
        <v>47.09</v>
      </c>
      <c r="C16" s="43"/>
      <c r="D16" s="6">
        <v>568</v>
      </c>
      <c r="E16" s="50">
        <v>34.08</v>
      </c>
      <c r="F16" s="7"/>
      <c r="G16" s="32">
        <v>22</v>
      </c>
      <c r="H16" s="33">
        <v>84.8</v>
      </c>
      <c r="I16" s="37"/>
      <c r="J16" s="30">
        <v>14</v>
      </c>
      <c r="K16" s="31">
        <v>92.7</v>
      </c>
      <c r="L16" s="8"/>
      <c r="M16" s="13">
        <v>7</v>
      </c>
      <c r="N16" s="22">
        <v>5330</v>
      </c>
      <c r="O16" s="25">
        <v>2124</v>
      </c>
    </row>
    <row r="17" spans="1:15" s="9" customFormat="1" ht="24" customHeight="1" x14ac:dyDescent="0.25">
      <c r="A17" s="5">
        <v>101</v>
      </c>
      <c r="B17" s="48">
        <v>48.16</v>
      </c>
      <c r="C17" s="43"/>
      <c r="D17" s="11">
        <v>592</v>
      </c>
      <c r="E17" s="51">
        <v>31.27</v>
      </c>
      <c r="F17" s="7"/>
      <c r="G17" s="28">
        <v>23</v>
      </c>
      <c r="H17" s="29">
        <v>102</v>
      </c>
      <c r="I17" s="37"/>
      <c r="J17" s="34">
        <v>15</v>
      </c>
      <c r="K17" s="35">
        <v>111</v>
      </c>
      <c r="L17" s="8"/>
      <c r="M17" s="12">
        <v>8</v>
      </c>
      <c r="N17" s="23">
        <v>5130</v>
      </c>
      <c r="O17" s="26">
        <v>2124</v>
      </c>
    </row>
    <row r="18" spans="1:15" s="9" customFormat="1" ht="24" customHeight="1" x14ac:dyDescent="0.25">
      <c r="A18" s="10">
        <v>106</v>
      </c>
      <c r="B18" s="49">
        <v>48.26</v>
      </c>
      <c r="C18" s="43"/>
      <c r="D18" s="6">
        <v>612</v>
      </c>
      <c r="E18" s="50">
        <v>33.909999999999997</v>
      </c>
      <c r="F18" s="7"/>
      <c r="G18" s="32">
        <v>24</v>
      </c>
      <c r="H18" s="33">
        <v>111.1</v>
      </c>
      <c r="I18" s="37"/>
      <c r="J18" s="30">
        <v>16</v>
      </c>
      <c r="K18" s="31">
        <v>95.3</v>
      </c>
      <c r="L18" s="8"/>
      <c r="M18" s="13">
        <v>9</v>
      </c>
      <c r="N18" s="22">
        <v>5277</v>
      </c>
      <c r="O18" s="25">
        <v>2124</v>
      </c>
    </row>
    <row r="19" spans="1:15" s="9" customFormat="1" ht="24" customHeight="1" x14ac:dyDescent="0.25">
      <c r="A19" s="5">
        <v>109</v>
      </c>
      <c r="B19" s="48">
        <v>47.53</v>
      </c>
      <c r="C19" s="43"/>
      <c r="D19" s="11">
        <v>625</v>
      </c>
      <c r="E19" s="51">
        <v>32.11</v>
      </c>
      <c r="F19" s="7"/>
      <c r="G19" s="28">
        <v>25</v>
      </c>
      <c r="H19" s="29">
        <v>96.5</v>
      </c>
      <c r="I19" s="37"/>
      <c r="J19" s="34">
        <v>17</v>
      </c>
      <c r="K19" s="35">
        <v>121.9</v>
      </c>
      <c r="L19" s="8"/>
      <c r="M19" s="12">
        <v>10</v>
      </c>
      <c r="N19" s="23">
        <v>5202</v>
      </c>
      <c r="O19" s="26">
        <v>2124</v>
      </c>
    </row>
    <row r="20" spans="1:15" s="9" customFormat="1" ht="24" customHeight="1" x14ac:dyDescent="0.25">
      <c r="A20" s="10">
        <v>114</v>
      </c>
      <c r="B20" s="49">
        <v>44.33</v>
      </c>
      <c r="C20" s="43"/>
      <c r="D20" s="6">
        <v>666</v>
      </c>
      <c r="E20" s="50">
        <v>49.61</v>
      </c>
      <c r="F20" s="7"/>
      <c r="G20" s="32">
        <v>26</v>
      </c>
      <c r="H20" s="33">
        <v>82.6</v>
      </c>
      <c r="I20" s="37"/>
      <c r="J20" s="30">
        <v>18</v>
      </c>
      <c r="K20" s="31">
        <v>101.7</v>
      </c>
      <c r="L20" s="8"/>
      <c r="M20" s="13">
        <v>11</v>
      </c>
      <c r="N20" s="22">
        <v>5356</v>
      </c>
      <c r="O20" s="25">
        <v>2124</v>
      </c>
    </row>
    <row r="21" spans="1:15" s="9" customFormat="1" ht="24" customHeight="1" x14ac:dyDescent="0.25">
      <c r="A21" s="5">
        <v>120</v>
      </c>
      <c r="B21" s="48">
        <v>49.93</v>
      </c>
      <c r="C21" s="43"/>
      <c r="D21" s="11">
        <v>680</v>
      </c>
      <c r="E21" s="51">
        <v>40.57</v>
      </c>
      <c r="F21" s="7"/>
      <c r="G21" s="28">
        <v>27</v>
      </c>
      <c r="H21" s="29">
        <v>99.5</v>
      </c>
      <c r="I21" s="37"/>
      <c r="J21" s="34">
        <v>19</v>
      </c>
      <c r="K21" s="35">
        <v>118.1</v>
      </c>
      <c r="L21" s="8"/>
      <c r="M21" s="157" t="s">
        <v>13</v>
      </c>
      <c r="N21" s="158"/>
      <c r="O21" s="159"/>
    </row>
    <row r="22" spans="1:15" s="9" customFormat="1" ht="24" customHeight="1" x14ac:dyDescent="0.25">
      <c r="A22" s="10">
        <v>126</v>
      </c>
      <c r="B22" s="49">
        <v>47.84</v>
      </c>
      <c r="C22" s="43"/>
      <c r="D22" s="6">
        <v>688</v>
      </c>
      <c r="E22" s="50">
        <v>38.799999999999997</v>
      </c>
      <c r="F22" s="7"/>
      <c r="G22" s="32">
        <v>28</v>
      </c>
      <c r="H22" s="33">
        <v>102.6</v>
      </c>
      <c r="I22" s="37"/>
      <c r="J22" s="30">
        <v>20</v>
      </c>
      <c r="K22" s="31">
        <v>100.6</v>
      </c>
      <c r="L22" s="8"/>
      <c r="M22" s="12">
        <v>7</v>
      </c>
      <c r="N22" s="23">
        <v>4582</v>
      </c>
      <c r="O22" s="26">
        <v>2124</v>
      </c>
    </row>
    <row r="23" spans="1:15" s="9" customFormat="1" ht="24" customHeight="1" x14ac:dyDescent="0.25">
      <c r="A23" s="5">
        <v>133</v>
      </c>
      <c r="B23" s="48">
        <v>47.61</v>
      </c>
      <c r="C23" s="43"/>
      <c r="D23" s="11">
        <v>753</v>
      </c>
      <c r="E23" s="51">
        <v>42.21</v>
      </c>
      <c r="F23" s="7"/>
      <c r="G23" s="28"/>
      <c r="H23" s="29"/>
      <c r="I23" s="37"/>
      <c r="J23" s="34">
        <v>21</v>
      </c>
      <c r="K23" s="35">
        <v>92.5</v>
      </c>
      <c r="L23" s="8"/>
      <c r="M23" s="13">
        <v>8</v>
      </c>
      <c r="N23" s="22">
        <v>5185</v>
      </c>
      <c r="O23" s="25">
        <v>2124</v>
      </c>
    </row>
    <row r="24" spans="1:15" s="9" customFormat="1" ht="24" customHeight="1" x14ac:dyDescent="0.25">
      <c r="A24" s="10">
        <v>140</v>
      </c>
      <c r="B24" s="49">
        <v>48.34</v>
      </c>
      <c r="C24" s="43"/>
      <c r="D24" s="6">
        <v>769</v>
      </c>
      <c r="E24" s="50">
        <v>42.97</v>
      </c>
      <c r="F24" s="7"/>
      <c r="G24" s="32"/>
      <c r="H24" s="33"/>
      <c r="I24" s="37"/>
      <c r="J24" s="30">
        <v>22</v>
      </c>
      <c r="K24" s="31">
        <v>99.6</v>
      </c>
      <c r="L24" s="8"/>
      <c r="M24" s="12">
        <v>9</v>
      </c>
      <c r="N24" s="23">
        <v>5533</v>
      </c>
      <c r="O24" s="26">
        <v>2124</v>
      </c>
    </row>
    <row r="25" spans="1:15" s="9" customFormat="1" ht="24" customHeight="1" x14ac:dyDescent="0.25">
      <c r="A25" s="5">
        <v>146</v>
      </c>
      <c r="B25" s="48">
        <v>33.92</v>
      </c>
      <c r="C25" s="43"/>
      <c r="D25" s="11">
        <v>781</v>
      </c>
      <c r="E25" s="51">
        <v>44.34</v>
      </c>
      <c r="F25" s="7"/>
      <c r="G25" s="28"/>
      <c r="H25" s="29"/>
      <c r="I25" s="37"/>
      <c r="J25" s="34"/>
      <c r="K25" s="35"/>
      <c r="L25" s="8"/>
      <c r="M25" s="13">
        <v>11</v>
      </c>
      <c r="N25" s="22">
        <v>5788</v>
      </c>
      <c r="O25" s="25">
        <v>2124</v>
      </c>
    </row>
    <row r="26" spans="1:15" s="9" customFormat="1" ht="24" customHeight="1" x14ac:dyDescent="0.25">
      <c r="A26" s="10">
        <v>160</v>
      </c>
      <c r="B26" s="49">
        <v>48.36</v>
      </c>
      <c r="C26" s="43"/>
      <c r="D26" s="6">
        <v>822</v>
      </c>
      <c r="E26" s="50">
        <v>41.3</v>
      </c>
      <c r="F26" s="7"/>
      <c r="G26" s="32"/>
      <c r="H26" s="33"/>
      <c r="I26" s="37"/>
      <c r="J26" s="30"/>
      <c r="K26" s="31"/>
      <c r="L26" s="8"/>
      <c r="M26" s="12">
        <v>12</v>
      </c>
      <c r="N26" s="23">
        <v>5017</v>
      </c>
      <c r="O26" s="26">
        <v>2124</v>
      </c>
    </row>
    <row r="27" spans="1:15" s="9" customFormat="1" ht="24" customHeight="1" x14ac:dyDescent="0.25">
      <c r="A27" s="5">
        <v>163</v>
      </c>
      <c r="B27" s="48">
        <v>49.14</v>
      </c>
      <c r="C27" s="43"/>
      <c r="D27" s="11">
        <v>857</v>
      </c>
      <c r="E27" s="51">
        <v>40.409999999999997</v>
      </c>
      <c r="F27" s="7"/>
      <c r="G27" s="28"/>
      <c r="H27" s="29"/>
      <c r="I27" s="37"/>
      <c r="J27" s="34"/>
      <c r="K27" s="35"/>
      <c r="L27" s="8"/>
      <c r="M27" s="13">
        <v>15</v>
      </c>
      <c r="N27" s="22">
        <v>5027</v>
      </c>
      <c r="O27" s="25">
        <v>2124</v>
      </c>
    </row>
    <row r="28" spans="1:15" s="9" customFormat="1" ht="24" customHeight="1" x14ac:dyDescent="0.25">
      <c r="A28" s="10">
        <v>168</v>
      </c>
      <c r="B28" s="49">
        <v>47.89</v>
      </c>
      <c r="C28" s="43"/>
      <c r="D28" s="6">
        <v>907</v>
      </c>
      <c r="E28" s="50">
        <v>42.49</v>
      </c>
      <c r="F28" s="7"/>
      <c r="G28" s="32"/>
      <c r="H28" s="33"/>
      <c r="I28" s="37"/>
      <c r="J28" s="30"/>
      <c r="K28" s="31"/>
      <c r="L28" s="8"/>
      <c r="M28" s="12">
        <v>20</v>
      </c>
      <c r="N28" s="23">
        <v>5679</v>
      </c>
      <c r="O28" s="26">
        <v>2124</v>
      </c>
    </row>
    <row r="29" spans="1:15" s="9" customFormat="1" ht="24" customHeight="1" x14ac:dyDescent="0.25">
      <c r="A29" s="5">
        <v>170</v>
      </c>
      <c r="B29" s="48">
        <v>48.03</v>
      </c>
      <c r="C29" s="43"/>
      <c r="D29" s="11">
        <v>908</v>
      </c>
      <c r="E29" s="51">
        <v>43.65</v>
      </c>
      <c r="F29" s="7"/>
      <c r="G29" s="28"/>
      <c r="H29" s="29"/>
      <c r="I29" s="37"/>
      <c r="J29" s="34"/>
      <c r="K29" s="35"/>
      <c r="L29" s="8"/>
      <c r="M29" s="160" t="s">
        <v>14</v>
      </c>
      <c r="N29" s="161"/>
      <c r="O29" s="162"/>
    </row>
    <row r="30" spans="1:15" s="9" customFormat="1" ht="24" customHeight="1" x14ac:dyDescent="0.25">
      <c r="A30" s="10">
        <v>184</v>
      </c>
      <c r="B30" s="49">
        <v>46.63</v>
      </c>
      <c r="C30" s="43"/>
      <c r="D30" s="6">
        <v>924</v>
      </c>
      <c r="E30" s="50">
        <v>43.04</v>
      </c>
      <c r="F30" s="7"/>
      <c r="G30" s="32"/>
      <c r="H30" s="33"/>
      <c r="I30" s="37"/>
      <c r="J30" s="30"/>
      <c r="K30" s="31"/>
      <c r="L30" s="8"/>
      <c r="M30" s="13">
        <v>1</v>
      </c>
      <c r="N30" s="22">
        <v>5820</v>
      </c>
      <c r="O30" s="25">
        <v>2334</v>
      </c>
    </row>
    <row r="31" spans="1:15" s="9" customFormat="1" ht="24" customHeight="1" x14ac:dyDescent="0.25">
      <c r="A31" s="5">
        <v>186</v>
      </c>
      <c r="B31" s="48">
        <v>49.84</v>
      </c>
      <c r="C31" s="43"/>
      <c r="D31" s="11">
        <v>934</v>
      </c>
      <c r="E31" s="51">
        <v>44.97</v>
      </c>
      <c r="F31" s="7"/>
      <c r="G31" s="28"/>
      <c r="H31" s="29"/>
      <c r="I31" s="37"/>
      <c r="J31" s="34"/>
      <c r="K31" s="35"/>
      <c r="L31" s="8"/>
      <c r="M31" s="12">
        <v>2</v>
      </c>
      <c r="N31" s="23">
        <v>5998</v>
      </c>
      <c r="O31" s="26">
        <v>2334</v>
      </c>
    </row>
    <row r="32" spans="1:15" s="9" customFormat="1" ht="24" customHeight="1" x14ac:dyDescent="0.25">
      <c r="A32" s="10">
        <v>199</v>
      </c>
      <c r="B32" s="49">
        <v>47.26</v>
      </c>
      <c r="C32" s="43"/>
      <c r="D32" s="6">
        <v>951</v>
      </c>
      <c r="E32" s="50">
        <v>38.54</v>
      </c>
      <c r="F32" s="7"/>
      <c r="G32" s="32"/>
      <c r="H32" s="33"/>
      <c r="I32" s="37"/>
      <c r="J32" s="30"/>
      <c r="K32" s="31"/>
      <c r="L32" s="8"/>
      <c r="M32" s="13">
        <v>3</v>
      </c>
      <c r="N32" s="22">
        <v>5810</v>
      </c>
      <c r="O32" s="25">
        <v>2333</v>
      </c>
    </row>
    <row r="33" spans="1:15" s="9" customFormat="1" ht="24" customHeight="1" x14ac:dyDescent="0.25">
      <c r="A33" s="5">
        <v>209</v>
      </c>
      <c r="B33" s="48">
        <v>45.57</v>
      </c>
      <c r="C33" s="43"/>
      <c r="D33" s="11">
        <v>983</v>
      </c>
      <c r="E33" s="51">
        <v>38.520000000000003</v>
      </c>
      <c r="F33" s="7"/>
      <c r="G33" s="28"/>
      <c r="H33" s="29"/>
      <c r="I33" s="37"/>
      <c r="J33" s="34"/>
      <c r="K33" s="35"/>
      <c r="L33" s="8"/>
      <c r="M33" s="12">
        <v>4</v>
      </c>
      <c r="N33" s="23">
        <v>5662</v>
      </c>
      <c r="O33" s="26">
        <v>2330</v>
      </c>
    </row>
    <row r="34" spans="1:15" s="9" customFormat="1" ht="24" customHeight="1" x14ac:dyDescent="0.25">
      <c r="A34" s="10">
        <v>210</v>
      </c>
      <c r="B34" s="49">
        <v>46.68</v>
      </c>
      <c r="C34" s="43"/>
      <c r="D34" s="6">
        <v>989</v>
      </c>
      <c r="E34" s="50">
        <v>41.88</v>
      </c>
      <c r="F34" s="7"/>
      <c r="G34" s="32"/>
      <c r="H34" s="33"/>
      <c r="I34" s="37"/>
      <c r="J34" s="30"/>
      <c r="K34" s="31"/>
      <c r="L34" s="8"/>
      <c r="M34" s="13">
        <v>5</v>
      </c>
      <c r="N34" s="22">
        <v>5814</v>
      </c>
      <c r="O34" s="25">
        <v>2336</v>
      </c>
    </row>
    <row r="35" spans="1:15" s="9" customFormat="1" ht="24" customHeight="1" thickBot="1" x14ac:dyDescent="0.3">
      <c r="A35" s="53">
        <v>213</v>
      </c>
      <c r="B35" s="54">
        <v>49.7</v>
      </c>
      <c r="C35" s="44"/>
      <c r="D35" s="14"/>
      <c r="E35" s="52"/>
      <c r="F35" s="7"/>
      <c r="G35" s="45"/>
      <c r="H35" s="46"/>
      <c r="I35" s="47"/>
      <c r="J35" s="55"/>
      <c r="K35" s="56"/>
      <c r="L35" s="8"/>
      <c r="M35" s="21">
        <v>6</v>
      </c>
      <c r="N35" s="24">
        <v>5892</v>
      </c>
      <c r="O35" s="27">
        <v>2333</v>
      </c>
    </row>
    <row r="36" spans="1:15" ht="16.5" thickTop="1" x14ac:dyDescent="0.25">
      <c r="G36" s="15"/>
      <c r="H36" s="15"/>
      <c r="I36" s="15"/>
      <c r="L36" s="15"/>
      <c r="M36" s="16"/>
      <c r="N36" s="17"/>
      <c r="O36" s="17"/>
    </row>
    <row r="37" spans="1:15" x14ac:dyDescent="0.25">
      <c r="G37" s="15"/>
      <c r="H37" s="15"/>
      <c r="I37" s="15"/>
      <c r="L37" s="15"/>
      <c r="M37" s="18"/>
      <c r="N37" s="19"/>
      <c r="O37" s="19"/>
    </row>
    <row r="38" spans="1:15" x14ac:dyDescent="0.25">
      <c r="G38" s="15"/>
      <c r="H38" s="15"/>
      <c r="I38" s="15"/>
      <c r="L38" s="15"/>
      <c r="M38" s="16"/>
      <c r="N38" s="17"/>
      <c r="O38" s="17"/>
    </row>
    <row r="39" spans="1:15" x14ac:dyDescent="0.25">
      <c r="G39" s="15"/>
      <c r="H39" s="15"/>
      <c r="I39" s="15"/>
      <c r="L39" s="15"/>
      <c r="M39" s="18"/>
      <c r="N39" s="19"/>
      <c r="O39" s="19"/>
    </row>
    <row r="40" spans="1:15" x14ac:dyDescent="0.25">
      <c r="G40" s="15"/>
      <c r="H40" s="15"/>
      <c r="I40" s="15"/>
      <c r="L40" s="15"/>
      <c r="M40" s="16"/>
      <c r="N40" s="17"/>
      <c r="O40" s="17"/>
    </row>
    <row r="41" spans="1:15" x14ac:dyDescent="0.25">
      <c r="G41" s="15"/>
      <c r="H41" s="15"/>
      <c r="I41" s="15"/>
      <c r="L41" s="15"/>
      <c r="M41" s="18"/>
      <c r="N41" s="19"/>
      <c r="O41" s="19"/>
    </row>
    <row r="42" spans="1:15" x14ac:dyDescent="0.25">
      <c r="G42" s="15"/>
      <c r="H42" s="15"/>
      <c r="I42" s="15"/>
      <c r="L42" s="15"/>
    </row>
    <row r="43" spans="1:15" x14ac:dyDescent="0.25">
      <c r="G43" s="15"/>
      <c r="H43" s="15"/>
      <c r="I43" s="15"/>
      <c r="L43" s="15"/>
      <c r="N43" s="3" t="s">
        <v>11</v>
      </c>
    </row>
  </sheetData>
  <mergeCells count="9">
    <mergeCell ref="M11:O11"/>
    <mergeCell ref="M21:O21"/>
    <mergeCell ref="M29:O29"/>
    <mergeCell ref="A2:E2"/>
    <mergeCell ref="G2:H2"/>
    <mergeCell ref="J2:K2"/>
    <mergeCell ref="M2:O2"/>
    <mergeCell ref="M5:O5"/>
    <mergeCell ref="M9:O9"/>
  </mergeCells>
  <printOptions horizontalCentered="1" verticalCentered="1"/>
  <pageMargins left="0.19685039370078741" right="0.19685039370078741" top="0.19685039370078741" bottom="0.19685039370078741" header="0" footer="0"/>
  <pageSetup paperSize="9" orientation="portrait" r:id="rId1"/>
  <colBreaks count="1" manualBreakCount="1">
    <brk id="15" min="1" max="4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57"/>
  <sheetViews>
    <sheetView tabSelected="1" zoomScale="115" zoomScaleNormal="115" zoomScaleSheetLayoutView="85" workbookViewId="0">
      <selection activeCell="D5" sqref="D5:D14"/>
    </sheetView>
  </sheetViews>
  <sheetFormatPr defaultRowHeight="15" x14ac:dyDescent="0.25"/>
  <cols>
    <col min="1" max="1" width="1.7109375" customWidth="1"/>
    <col min="2" max="2" width="6.7109375" style="58" customWidth="1"/>
    <col min="3" max="3" width="8" style="58" customWidth="1"/>
    <col min="4" max="4" width="12" style="60" customWidth="1"/>
    <col min="5" max="5" width="1.7109375" style="60" customWidth="1"/>
    <col min="6" max="6" width="6.7109375" style="60" customWidth="1"/>
    <col min="7" max="7" width="7.85546875" style="60" customWidth="1"/>
    <col min="8" max="8" width="12" style="60" customWidth="1"/>
    <col min="9" max="9" width="1.7109375" style="60" customWidth="1"/>
    <col min="10" max="11" width="7.140625" style="58" customWidth="1"/>
    <col min="12" max="12" width="12.140625" style="58" customWidth="1"/>
  </cols>
  <sheetData>
    <row r="1" spans="1:24" ht="6" customHeight="1" x14ac:dyDescent="0.25">
      <c r="A1" s="57"/>
      <c r="B1" s="63"/>
      <c r="C1" s="63"/>
      <c r="D1" s="64"/>
      <c r="E1" s="64"/>
      <c r="F1" s="64"/>
      <c r="G1" s="64"/>
      <c r="H1" s="64"/>
      <c r="I1" s="83"/>
      <c r="J1" s="63"/>
      <c r="K1" s="63"/>
      <c r="L1" s="63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</row>
    <row r="2" spans="1:24" ht="15" customHeight="1" x14ac:dyDescent="0.25">
      <c r="A2" s="57"/>
      <c r="B2" s="170" t="s">
        <v>29</v>
      </c>
      <c r="C2" s="170"/>
      <c r="D2" s="170"/>
      <c r="E2" s="65"/>
      <c r="F2" s="170" t="s">
        <v>64</v>
      </c>
      <c r="G2" s="170"/>
      <c r="H2" s="170"/>
      <c r="I2" s="83"/>
      <c r="J2" s="170" t="s">
        <v>60</v>
      </c>
      <c r="K2" s="170"/>
      <c r="L2" s="170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</row>
    <row r="3" spans="1:24" s="59" customFormat="1" ht="15" customHeight="1" x14ac:dyDescent="0.25">
      <c r="A3" s="66"/>
      <c r="B3" s="171" t="s">
        <v>18</v>
      </c>
      <c r="C3" s="171"/>
      <c r="D3" s="172" t="s">
        <v>70</v>
      </c>
      <c r="E3" s="62"/>
      <c r="F3" s="173" t="s">
        <v>18</v>
      </c>
      <c r="G3" s="173"/>
      <c r="H3" s="174" t="s">
        <v>20</v>
      </c>
      <c r="I3" s="83"/>
      <c r="J3" s="173" t="s">
        <v>18</v>
      </c>
      <c r="K3" s="173"/>
      <c r="L3" s="174" t="s">
        <v>20</v>
      </c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</row>
    <row r="4" spans="1:24" s="59" customFormat="1" ht="15" customHeight="1" x14ac:dyDescent="0.25">
      <c r="A4" s="66"/>
      <c r="B4" s="145" t="s">
        <v>19</v>
      </c>
      <c r="C4" s="145" t="s">
        <v>0</v>
      </c>
      <c r="D4" s="172"/>
      <c r="E4" s="62"/>
      <c r="F4" s="146" t="s">
        <v>19</v>
      </c>
      <c r="G4" s="146" t="s">
        <v>0</v>
      </c>
      <c r="H4" s="174"/>
      <c r="I4" s="82"/>
      <c r="J4" s="146" t="s">
        <v>19</v>
      </c>
      <c r="K4" s="146" t="s">
        <v>0</v>
      </c>
      <c r="L4" s="174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</row>
    <row r="5" spans="1:24" ht="15" customHeight="1" x14ac:dyDescent="0.25">
      <c r="A5" s="57"/>
      <c r="B5" s="149">
        <f t="shared" ref="B5:B15" si="0">IFERROR(INDEX($J$5:$L$57,MATCH(C5,$K$5:$K$57,),1,1),"")</f>
        <v>2.9999999999999996</v>
      </c>
      <c r="C5" s="150">
        <v>75</v>
      </c>
      <c r="D5" s="61">
        <v>100</v>
      </c>
      <c r="E5" s="67"/>
      <c r="F5" s="149">
        <f t="shared" ref="F5:F16" si="1">IFERROR(INDEX($J$5:$L$57,MATCH(G5,$K$5:$K$57,),1,1),"")</f>
        <v>2.9999999999999996</v>
      </c>
      <c r="G5" s="155">
        <v>75</v>
      </c>
      <c r="H5" s="151">
        <f>IFERROR(INDEX($J$5:$L$57,MATCH(G5,$K$5:$K$57,),3,1),"")</f>
        <v>100</v>
      </c>
      <c r="I5" s="82"/>
      <c r="J5" s="68">
        <v>5</v>
      </c>
      <c r="K5" s="69">
        <v>125</v>
      </c>
      <c r="L5" s="70" t="e">
        <f>INDEX($D$5:$D$16,MATCH(K5,$C$5:$C$15,-1)+1)+(K5-INDEX($C$5:$C$16,MATCH(K5,$C$5:$C$15,-1)+1))*((INDEX($D$5:$D$16,MATCH(K5,$C$5:$C$15,-1))-INDEX($D$5:$D$16,MATCH(K5,$C$5:$C$15,-1)+1))/(INDEX($C$5:$C$16,MATCH(K5,$C$5:$C$15,-1))-INDEX($C$5:$C$16,MATCH(K5,$C$5:$C$15,-1)+1)))</f>
        <v>#N/A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</row>
    <row r="6" spans="1:24" ht="15" customHeight="1" x14ac:dyDescent="0.25">
      <c r="A6" s="57"/>
      <c r="B6" s="149">
        <f t="shared" si="0"/>
        <v>2</v>
      </c>
      <c r="C6" s="150">
        <v>50</v>
      </c>
      <c r="D6" s="61">
        <v>91</v>
      </c>
      <c r="E6" s="67"/>
      <c r="F6" s="149">
        <f t="shared" si="1"/>
        <v>2</v>
      </c>
      <c r="G6" s="156">
        <v>50</v>
      </c>
      <c r="H6" s="151">
        <f t="shared" ref="H6:H16" si="2">IFERROR(INDEX($J$5:$L$57,MATCH(G6,$K$5:$K$57,),3,1),"")</f>
        <v>91</v>
      </c>
      <c r="I6" s="82"/>
      <c r="J6" s="71">
        <v>4.24</v>
      </c>
      <c r="K6" s="72">
        <v>106</v>
      </c>
      <c r="L6" s="73" t="e">
        <f t="shared" ref="L6:L57" si="3">INDEX($D$5:$D$16,MATCH(K6,$C$5:$C$15,-1)+1)+(K6-INDEX($C$5:$C$16,MATCH(K6,$C$5:$C$15,-1)+1))*((INDEX($D$5:$D$16,MATCH(K6,$C$5:$C$15,-1))-INDEX($D$5:$D$16,MATCH(K6,$C$5:$C$15,-1)+1))/(INDEX($C$5:$C$16,MATCH(K6,$C$5:$C$15,-1))-INDEX($C$5:$C$16,MATCH(K6,$C$5:$C$15,-1)+1)))</f>
        <v>#N/A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</row>
    <row r="7" spans="1:24" ht="15" customHeight="1" x14ac:dyDescent="0.25">
      <c r="A7" s="57"/>
      <c r="B7" s="149">
        <f t="shared" si="0"/>
        <v>1.4999999999999998</v>
      </c>
      <c r="C7" s="150">
        <v>37.5</v>
      </c>
      <c r="D7" s="61">
        <v>86</v>
      </c>
      <c r="E7" s="67"/>
      <c r="F7" s="149">
        <f t="shared" si="1"/>
        <v>1.4999999999999998</v>
      </c>
      <c r="G7" s="156">
        <v>37.5</v>
      </c>
      <c r="H7" s="151">
        <f t="shared" si="2"/>
        <v>86</v>
      </c>
      <c r="I7" s="82"/>
      <c r="J7" s="71">
        <v>4</v>
      </c>
      <c r="K7" s="72">
        <v>100</v>
      </c>
      <c r="L7" s="73" t="e">
        <f t="shared" si="3"/>
        <v>#N/A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</row>
    <row r="8" spans="1:24" ht="15" customHeight="1" x14ac:dyDescent="0.25">
      <c r="A8" s="57"/>
      <c r="B8" s="149">
        <f t="shared" si="0"/>
        <v>1</v>
      </c>
      <c r="C8" s="150">
        <v>25</v>
      </c>
      <c r="D8" s="61">
        <v>79</v>
      </c>
      <c r="E8" s="67"/>
      <c r="F8" s="149">
        <f t="shared" si="1"/>
        <v>1</v>
      </c>
      <c r="G8" s="156">
        <v>25</v>
      </c>
      <c r="H8" s="151">
        <f t="shared" si="2"/>
        <v>79</v>
      </c>
      <c r="I8" s="82"/>
      <c r="J8" s="71">
        <v>3.5</v>
      </c>
      <c r="K8" s="72">
        <v>90</v>
      </c>
      <c r="L8" s="73" t="e">
        <f t="shared" si="3"/>
        <v>#N/A</v>
      </c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</row>
    <row r="9" spans="1:24" ht="15" customHeight="1" x14ac:dyDescent="0.25">
      <c r="A9" s="57"/>
      <c r="B9" s="149">
        <f t="shared" si="0"/>
        <v>0.74999999999999989</v>
      </c>
      <c r="C9" s="150">
        <v>19</v>
      </c>
      <c r="D9" s="61">
        <v>71</v>
      </c>
      <c r="E9" s="67"/>
      <c r="F9" s="149">
        <f t="shared" si="1"/>
        <v>0.74999999999999989</v>
      </c>
      <c r="G9" s="156">
        <v>19</v>
      </c>
      <c r="H9" s="151">
        <f t="shared" si="2"/>
        <v>71</v>
      </c>
      <c r="I9" s="82"/>
      <c r="J9" s="68">
        <v>2.9999999999999996</v>
      </c>
      <c r="K9" s="69">
        <v>75</v>
      </c>
      <c r="L9" s="70">
        <f>INDEX($D$5:$D$16,MATCH(K9,$C$5:$C$15,-1)+1)+(K9-INDEX($C$5:$C$16,MATCH(K9,$C$5:$C$15,-1)+1))*((INDEX($D$5:$D$16,MATCH(K9,$C$5:$C$15,-1))-INDEX($D$5:$D$16,MATCH(K9,$C$5:$C$15,-1)+1))/(INDEX($C$5:$C$16,MATCH(K9,$C$5:$C$15,-1))-INDEX($C$5:$C$16,MATCH(K9,$C$5:$C$15,-1)+1)))</f>
        <v>100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</row>
    <row r="10" spans="1:24" ht="15" customHeight="1" x14ac:dyDescent="0.25">
      <c r="A10" s="57"/>
      <c r="B10" s="149">
        <f t="shared" si="0"/>
        <v>0.5</v>
      </c>
      <c r="C10" s="150">
        <v>12.5</v>
      </c>
      <c r="D10" s="61">
        <v>47</v>
      </c>
      <c r="E10" s="67"/>
      <c r="F10" s="149">
        <f t="shared" si="1"/>
        <v>0.37499999999999994</v>
      </c>
      <c r="G10" s="156">
        <v>9.5</v>
      </c>
      <c r="H10" s="151">
        <f t="shared" si="2"/>
        <v>41.193548387096776</v>
      </c>
      <c r="I10" s="82"/>
      <c r="J10" s="71">
        <v>2.5</v>
      </c>
      <c r="K10" s="72">
        <v>63</v>
      </c>
      <c r="L10" s="73">
        <f t="shared" si="3"/>
        <v>95.68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</row>
    <row r="11" spans="1:24" ht="15" customHeight="1" x14ac:dyDescent="0.25">
      <c r="A11" s="57"/>
      <c r="B11" s="149" t="str">
        <f t="shared" si="0"/>
        <v>No.4</v>
      </c>
      <c r="C11" s="150">
        <v>4.75</v>
      </c>
      <c r="D11" s="61">
        <v>32</v>
      </c>
      <c r="E11" s="67"/>
      <c r="F11" s="149" t="str">
        <f t="shared" si="1"/>
        <v>No.4</v>
      </c>
      <c r="G11" s="156">
        <v>4.75</v>
      </c>
      <c r="H11" s="151">
        <f t="shared" si="2"/>
        <v>32</v>
      </c>
      <c r="I11" s="82"/>
      <c r="J11" s="71">
        <v>2.12</v>
      </c>
      <c r="K11" s="72">
        <v>53</v>
      </c>
      <c r="L11" s="73">
        <f t="shared" si="3"/>
        <v>92.08</v>
      </c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</row>
    <row r="12" spans="1:24" ht="15" customHeight="1" x14ac:dyDescent="0.25">
      <c r="A12" s="57"/>
      <c r="B12" s="149" t="str">
        <f t="shared" si="0"/>
        <v>No.10</v>
      </c>
      <c r="C12" s="150">
        <v>2</v>
      </c>
      <c r="D12" s="61">
        <v>21</v>
      </c>
      <c r="E12" s="67"/>
      <c r="F12" s="149" t="str">
        <f t="shared" si="1"/>
        <v>No.10</v>
      </c>
      <c r="G12" s="156">
        <v>2</v>
      </c>
      <c r="H12" s="151">
        <f t="shared" si="2"/>
        <v>21</v>
      </c>
      <c r="I12" s="82"/>
      <c r="J12" s="68">
        <v>2</v>
      </c>
      <c r="K12" s="69">
        <v>50</v>
      </c>
      <c r="L12" s="70">
        <f>INDEX($D$5:$D$16,MATCH(K12,$C$5:$C$15,-1)+1)+(K12-INDEX($C$5:$C$16,MATCH(K12,$C$5:$C$15,-1)+1))*((INDEX($D$5:$D$16,MATCH(K12,$C$5:$C$15,-1))-INDEX($D$5:$D$16,MATCH(K12,$C$5:$C$15,-1)+1))/(INDEX($C$5:$C$16,MATCH(K12,$C$5:$C$15,-1))-INDEX($C$5:$C$16,MATCH(K12,$C$5:$C$15,-1)+1)))</f>
        <v>91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</row>
    <row r="13" spans="1:24" ht="15" customHeight="1" x14ac:dyDescent="0.25">
      <c r="A13" s="57"/>
      <c r="B13" s="149" t="str">
        <f t="shared" si="0"/>
        <v>No.30</v>
      </c>
      <c r="C13" s="150">
        <v>0.6</v>
      </c>
      <c r="D13" s="61">
        <v>13</v>
      </c>
      <c r="E13" s="67"/>
      <c r="F13" s="149" t="str">
        <f t="shared" si="1"/>
        <v>No.40</v>
      </c>
      <c r="G13" s="156">
        <v>0.42499999999999999</v>
      </c>
      <c r="H13" s="152">
        <f t="shared" si="2"/>
        <v>10.333333333333332</v>
      </c>
      <c r="I13" s="82"/>
      <c r="J13" s="71">
        <v>1.75</v>
      </c>
      <c r="K13" s="72">
        <v>45</v>
      </c>
      <c r="L13" s="73">
        <f t="shared" si="3"/>
        <v>89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</row>
    <row r="14" spans="1:24" ht="15" customHeight="1" x14ac:dyDescent="0.25">
      <c r="A14" s="57"/>
      <c r="B14" s="149" t="str">
        <f t="shared" si="0"/>
        <v>No.200</v>
      </c>
      <c r="C14" s="150">
        <v>7.4999999999999997E-2</v>
      </c>
      <c r="D14" s="61">
        <v>5</v>
      </c>
      <c r="E14" s="74"/>
      <c r="F14" s="149" t="str">
        <f t="shared" si="1"/>
        <v>No.200</v>
      </c>
      <c r="G14" s="156">
        <v>7.4999999999999997E-2</v>
      </c>
      <c r="H14" s="152">
        <f t="shared" si="2"/>
        <v>5</v>
      </c>
      <c r="I14" s="82"/>
      <c r="J14" s="68">
        <v>1.4999999999999998</v>
      </c>
      <c r="K14" s="70">
        <v>37.5</v>
      </c>
      <c r="L14" s="70">
        <f t="shared" si="3"/>
        <v>86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</row>
    <row r="15" spans="1:24" ht="15" customHeight="1" x14ac:dyDescent="0.25">
      <c r="A15" s="57"/>
      <c r="B15" s="149"/>
      <c r="C15" s="150"/>
      <c r="D15" s="61"/>
      <c r="E15" s="144"/>
      <c r="F15" s="149" t="str">
        <f t="shared" si="1"/>
        <v/>
      </c>
      <c r="G15" s="156"/>
      <c r="H15" s="153" t="str">
        <f t="shared" si="2"/>
        <v/>
      </c>
      <c r="I15" s="82"/>
      <c r="J15" s="71">
        <v>1.25</v>
      </c>
      <c r="K15" s="73">
        <v>31.5</v>
      </c>
      <c r="L15" s="73">
        <f t="shared" si="3"/>
        <v>82.64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</row>
    <row r="16" spans="1:24" ht="15" customHeight="1" x14ac:dyDescent="0.25">
      <c r="A16" s="57"/>
      <c r="B16" s="147">
        <v>0</v>
      </c>
      <c r="C16" s="147">
        <v>0</v>
      </c>
      <c r="D16" s="148">
        <v>0</v>
      </c>
      <c r="E16" s="144"/>
      <c r="F16" s="149" t="str">
        <f t="shared" si="1"/>
        <v/>
      </c>
      <c r="G16" s="156"/>
      <c r="H16" s="153" t="str">
        <f t="shared" si="2"/>
        <v/>
      </c>
      <c r="I16" s="82"/>
      <c r="J16" s="68">
        <v>1</v>
      </c>
      <c r="K16" s="69">
        <v>25</v>
      </c>
      <c r="L16" s="70">
        <f t="shared" si="3"/>
        <v>79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</row>
    <row r="17" spans="1:24" ht="15" customHeight="1" thickBot="1" x14ac:dyDescent="0.3">
      <c r="A17" s="57"/>
      <c r="B17" s="75"/>
      <c r="C17" s="75"/>
      <c r="D17" s="144"/>
      <c r="E17" s="144"/>
      <c r="F17" s="144"/>
      <c r="G17" s="144"/>
      <c r="H17" s="144"/>
      <c r="I17" s="82"/>
      <c r="J17" s="71">
        <v>0.875</v>
      </c>
      <c r="K17" s="73">
        <v>22.4</v>
      </c>
      <c r="L17" s="73">
        <f t="shared" si="3"/>
        <v>75.533333333333331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</row>
    <row r="18" spans="1:24" ht="15" customHeight="1" x14ac:dyDescent="0.25">
      <c r="A18" s="57"/>
      <c r="B18" s="180" t="s">
        <v>106</v>
      </c>
      <c r="C18" s="181"/>
      <c r="D18" s="182"/>
      <c r="E18" s="144"/>
      <c r="F18" s="114" t="s">
        <v>61</v>
      </c>
      <c r="G18" s="115">
        <v>60</v>
      </c>
      <c r="H18" s="119">
        <f>INDEX($K$5:$K$57,MATCH(G18,$L$5:$L$57,-1)+1)+(INDEX($K$5:$K$57,MATCH(G18,$L$5:$L$57,-1))-INDEX($K$5:$K$57,MATCH(G18,$L$5:$L$57,-1)+1))*((G18-INDEX($L$5:$L$57,MATCH(G18,$L$5:$L$57,-1)+1))/(INDEX($L$5:$L$57,MATCH(G18,$L$5:$L$57,-1))-INDEX($L$5:$L$57,MATCH(G18,$L$5:$L$57,-1)+1)))</f>
        <v>16.020833333333336</v>
      </c>
      <c r="I18" s="82"/>
      <c r="J18" s="68">
        <v>0.74999999999999989</v>
      </c>
      <c r="K18" s="69">
        <v>19</v>
      </c>
      <c r="L18" s="70">
        <f t="shared" si="3"/>
        <v>71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</row>
    <row r="19" spans="1:24" ht="15" customHeight="1" x14ac:dyDescent="0.25">
      <c r="A19" s="57"/>
      <c r="B19" s="125" t="s">
        <v>30</v>
      </c>
      <c r="C19" s="183" t="s">
        <v>33</v>
      </c>
      <c r="D19" s="184"/>
      <c r="E19" s="144"/>
      <c r="F19" s="116" t="s">
        <v>61</v>
      </c>
      <c r="G19" s="117">
        <v>50</v>
      </c>
      <c r="H19" s="120">
        <f t="shared" ref="H19:H22" si="4">INDEX($K$5:$K$57,MATCH(G19,$L$5:$L$57,-1)+1)+(INDEX($K$5:$K$57,MATCH(G19,$L$5:$L$57,-1))-INDEX($K$5:$K$57,MATCH(G19,$L$5:$L$57,-1)+1))*((G19-INDEX($L$5:$L$57,MATCH(G19,$L$5:$L$57,-1)+1))/(INDEX($L$5:$L$57,MATCH(G19,$L$5:$L$57,-1))-INDEX($L$5:$L$57,MATCH(G19,$L$5:$L$57,-1)+1)))</f>
        <v>13.3125</v>
      </c>
      <c r="I19" s="82"/>
      <c r="J19" s="71">
        <v>0.625</v>
      </c>
      <c r="K19" s="72">
        <v>16</v>
      </c>
      <c r="L19" s="73">
        <f t="shared" si="3"/>
        <v>59.92307692307692</v>
      </c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</row>
    <row r="20" spans="1:24" ht="15" customHeight="1" x14ac:dyDescent="0.25">
      <c r="A20" s="57"/>
      <c r="B20" s="125" t="s">
        <v>31</v>
      </c>
      <c r="C20" s="183" t="s">
        <v>34</v>
      </c>
      <c r="D20" s="184"/>
      <c r="E20" s="144"/>
      <c r="F20" s="116" t="s">
        <v>61</v>
      </c>
      <c r="G20" s="118">
        <v>30</v>
      </c>
      <c r="H20" s="120">
        <f t="shared" si="4"/>
        <v>4.25</v>
      </c>
      <c r="I20" s="144"/>
      <c r="J20" s="71">
        <v>0.5</v>
      </c>
      <c r="K20" s="73">
        <v>12.5</v>
      </c>
      <c r="L20" s="73">
        <f t="shared" si="3"/>
        <v>47</v>
      </c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</row>
    <row r="21" spans="1:24" ht="15" customHeight="1" x14ac:dyDescent="0.25">
      <c r="A21" s="57"/>
      <c r="B21" s="185" t="s">
        <v>37</v>
      </c>
      <c r="C21" s="188" t="s">
        <v>35</v>
      </c>
      <c r="D21" s="189"/>
      <c r="E21" s="144"/>
      <c r="F21" s="116" t="s">
        <v>61</v>
      </c>
      <c r="G21" s="118">
        <v>20</v>
      </c>
      <c r="H21" s="120">
        <f t="shared" si="4"/>
        <v>1.8250000000000002</v>
      </c>
      <c r="I21" s="144"/>
      <c r="J21" s="71">
        <v>0.4375</v>
      </c>
      <c r="K21" s="73">
        <v>11.2</v>
      </c>
      <c r="L21" s="73">
        <f t="shared" si="3"/>
        <v>44.483870967741936</v>
      </c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</row>
    <row r="22" spans="1:24" ht="15" customHeight="1" x14ac:dyDescent="0.25">
      <c r="A22" s="57"/>
      <c r="B22" s="186"/>
      <c r="C22" s="188"/>
      <c r="D22" s="189"/>
      <c r="E22" s="144"/>
      <c r="F22" s="116" t="s">
        <v>61</v>
      </c>
      <c r="G22" s="118">
        <v>10</v>
      </c>
      <c r="H22" s="120">
        <f t="shared" si="4"/>
        <v>0.40312500000000007</v>
      </c>
      <c r="I22" s="144"/>
      <c r="J22" s="68">
        <v>0.37499999999999994</v>
      </c>
      <c r="K22" s="70">
        <v>9.5</v>
      </c>
      <c r="L22" s="70">
        <f t="shared" si="3"/>
        <v>41.193548387096776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</row>
    <row r="23" spans="1:24" ht="15" customHeight="1" x14ac:dyDescent="0.25">
      <c r="A23" s="57"/>
      <c r="B23" s="187"/>
      <c r="C23" s="188"/>
      <c r="D23" s="189"/>
      <c r="E23" s="144"/>
      <c r="F23" s="176" t="s">
        <v>62</v>
      </c>
      <c r="G23" s="177"/>
      <c r="H23" s="121">
        <f>H18/H22</f>
        <v>39.741602067183464</v>
      </c>
      <c r="I23" s="144"/>
      <c r="J23" s="71">
        <v>0.3125</v>
      </c>
      <c r="K23" s="73">
        <v>8</v>
      </c>
      <c r="L23" s="73">
        <f t="shared" si="3"/>
        <v>38.29032258064516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</row>
    <row r="24" spans="1:24" ht="15" customHeight="1" thickBot="1" x14ac:dyDescent="0.3">
      <c r="A24" s="57"/>
      <c r="B24" s="185" t="s">
        <v>38</v>
      </c>
      <c r="C24" s="188" t="s">
        <v>36</v>
      </c>
      <c r="D24" s="189"/>
      <c r="E24" s="144"/>
      <c r="F24" s="178" t="s">
        <v>63</v>
      </c>
      <c r="G24" s="179"/>
      <c r="H24" s="122">
        <f>H20^2/(H18*H22)</f>
        <v>2.7967460005443483</v>
      </c>
      <c r="I24" s="144"/>
      <c r="J24" s="71">
        <v>0.25</v>
      </c>
      <c r="K24" s="79">
        <v>6.35</v>
      </c>
      <c r="L24" s="73">
        <f t="shared" si="3"/>
        <v>35.096774193548384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</row>
    <row r="25" spans="1:24" ht="15" customHeight="1" x14ac:dyDescent="0.25">
      <c r="A25" s="57"/>
      <c r="B25" s="186" t="s">
        <v>32</v>
      </c>
      <c r="C25" s="188"/>
      <c r="D25" s="189"/>
      <c r="E25" s="144"/>
      <c r="F25" s="144"/>
      <c r="G25" s="144"/>
      <c r="H25" s="144"/>
      <c r="I25" s="144"/>
      <c r="J25" s="71" t="s">
        <v>45</v>
      </c>
      <c r="K25" s="73">
        <v>5.6</v>
      </c>
      <c r="L25" s="73">
        <f t="shared" si="3"/>
        <v>33.645161290322577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</row>
    <row r="26" spans="1:24" ht="15" customHeight="1" x14ac:dyDescent="0.25">
      <c r="A26" s="57"/>
      <c r="B26" s="187"/>
      <c r="C26" s="188"/>
      <c r="D26" s="189"/>
      <c r="E26" s="144"/>
      <c r="F26" s="175" t="s">
        <v>105</v>
      </c>
      <c r="G26" s="175"/>
      <c r="H26" s="175"/>
      <c r="I26" s="144"/>
      <c r="J26" s="68" t="s">
        <v>1</v>
      </c>
      <c r="K26" s="76">
        <v>4.75</v>
      </c>
      <c r="L26" s="70">
        <f t="shared" si="3"/>
        <v>32</v>
      </c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</row>
    <row r="27" spans="1:24" ht="15" customHeight="1" x14ac:dyDescent="0.25">
      <c r="A27" s="57"/>
      <c r="B27" s="126"/>
      <c r="C27" s="77"/>
      <c r="D27" s="107"/>
      <c r="E27" s="144"/>
      <c r="F27" s="175"/>
      <c r="G27" s="175"/>
      <c r="H27" s="175"/>
      <c r="I27" s="144"/>
      <c r="J27" s="78" t="s">
        <v>39</v>
      </c>
      <c r="K27" s="79">
        <v>4</v>
      </c>
      <c r="L27" s="79">
        <f t="shared" si="3"/>
        <v>29</v>
      </c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</row>
    <row r="28" spans="1:24" ht="15" customHeight="1" x14ac:dyDescent="0.25">
      <c r="A28" s="57"/>
      <c r="B28" s="127"/>
      <c r="C28" s="77"/>
      <c r="D28" s="107"/>
      <c r="E28" s="144"/>
      <c r="F28" s="175"/>
      <c r="G28" s="175"/>
      <c r="H28" s="175"/>
      <c r="I28" s="144"/>
      <c r="J28" s="78" t="s">
        <v>40</v>
      </c>
      <c r="K28" s="79">
        <v>3.35</v>
      </c>
      <c r="L28" s="79">
        <f t="shared" si="3"/>
        <v>26.4</v>
      </c>
    </row>
    <row r="29" spans="1:24" ht="15" customHeight="1" x14ac:dyDescent="0.25">
      <c r="A29" s="57"/>
      <c r="B29" s="126"/>
      <c r="C29" s="77"/>
      <c r="D29" s="107"/>
      <c r="E29" s="144"/>
      <c r="F29" s="175"/>
      <c r="G29" s="175"/>
      <c r="H29" s="175"/>
      <c r="I29" s="144"/>
      <c r="J29" s="78" t="s">
        <v>41</v>
      </c>
      <c r="K29" s="79">
        <v>2.8</v>
      </c>
      <c r="L29" s="79">
        <f t="shared" si="3"/>
        <v>24.2</v>
      </c>
    </row>
    <row r="30" spans="1:24" ht="15" customHeight="1" x14ac:dyDescent="0.25">
      <c r="A30" s="57"/>
      <c r="B30" s="126"/>
      <c r="C30" s="77"/>
      <c r="D30" s="107"/>
      <c r="E30" s="64"/>
      <c r="F30" s="175"/>
      <c r="G30" s="175"/>
      <c r="H30" s="175"/>
      <c r="I30" s="64"/>
      <c r="J30" s="78" t="s">
        <v>21</v>
      </c>
      <c r="K30" s="79">
        <v>2.36</v>
      </c>
      <c r="L30" s="79">
        <f t="shared" si="3"/>
        <v>22.439999999999998</v>
      </c>
    </row>
    <row r="31" spans="1:24" ht="15" customHeight="1" x14ac:dyDescent="0.25">
      <c r="A31" s="57"/>
      <c r="B31" s="126"/>
      <c r="C31" s="77"/>
      <c r="D31" s="107"/>
      <c r="E31" s="64"/>
      <c r="F31" s="175"/>
      <c r="G31" s="175"/>
      <c r="H31" s="175"/>
      <c r="I31" s="64"/>
      <c r="J31" s="68" t="s">
        <v>2</v>
      </c>
      <c r="K31" s="76">
        <v>2</v>
      </c>
      <c r="L31" s="76">
        <f t="shared" si="3"/>
        <v>21</v>
      </c>
    </row>
    <row r="32" spans="1:24" ht="15" customHeight="1" x14ac:dyDescent="0.25">
      <c r="A32" s="57"/>
      <c r="B32" s="126"/>
      <c r="C32" s="77"/>
      <c r="D32" s="107"/>
      <c r="E32" s="64"/>
      <c r="F32" s="175"/>
      <c r="G32" s="175"/>
      <c r="H32" s="175"/>
      <c r="I32" s="64"/>
      <c r="J32" s="78" t="s">
        <v>42</v>
      </c>
      <c r="K32" s="79">
        <v>1.7</v>
      </c>
      <c r="L32" s="79">
        <f t="shared" si="3"/>
        <v>19.285714285714285</v>
      </c>
    </row>
    <row r="33" spans="1:12" ht="15" customHeight="1" x14ac:dyDescent="0.25">
      <c r="A33" s="57"/>
      <c r="B33" s="126"/>
      <c r="C33" s="77"/>
      <c r="D33" s="107"/>
      <c r="E33" s="64"/>
      <c r="F33" s="175"/>
      <c r="G33" s="175"/>
      <c r="H33" s="175"/>
      <c r="I33" s="64"/>
      <c r="J33" s="78" t="s">
        <v>43</v>
      </c>
      <c r="K33" s="79">
        <v>1.4</v>
      </c>
      <c r="L33" s="79">
        <f t="shared" si="3"/>
        <v>17.571428571428569</v>
      </c>
    </row>
    <row r="34" spans="1:12" ht="15" customHeight="1" x14ac:dyDescent="0.25">
      <c r="A34" s="57"/>
      <c r="B34" s="126"/>
      <c r="C34" s="77"/>
      <c r="D34" s="107"/>
      <c r="E34" s="64"/>
      <c r="F34" s="175"/>
      <c r="G34" s="175"/>
      <c r="H34" s="175"/>
      <c r="I34" s="64"/>
      <c r="J34" s="78" t="s">
        <v>22</v>
      </c>
      <c r="K34" s="79">
        <v>1.18</v>
      </c>
      <c r="L34" s="79">
        <f t="shared" si="3"/>
        <v>16.314285714285713</v>
      </c>
    </row>
    <row r="35" spans="1:12" ht="15" customHeight="1" x14ac:dyDescent="0.25">
      <c r="A35" s="57"/>
      <c r="B35" s="126"/>
      <c r="C35" s="77"/>
      <c r="D35" s="107"/>
      <c r="E35" s="64"/>
      <c r="F35" s="175"/>
      <c r="G35" s="175"/>
      <c r="H35" s="175"/>
      <c r="I35" s="64"/>
      <c r="J35" s="78" t="s">
        <v>44</v>
      </c>
      <c r="K35" s="79">
        <v>1</v>
      </c>
      <c r="L35" s="79">
        <f t="shared" si="3"/>
        <v>15.285714285714286</v>
      </c>
    </row>
    <row r="36" spans="1:12" ht="15" customHeight="1" x14ac:dyDescent="0.25">
      <c r="A36" s="57"/>
      <c r="B36" s="126"/>
      <c r="C36" s="77"/>
      <c r="D36" s="107"/>
      <c r="E36" s="64"/>
      <c r="F36" s="175"/>
      <c r="G36" s="175"/>
      <c r="H36" s="175"/>
      <c r="I36" s="64"/>
      <c r="J36" s="78" t="s">
        <v>23</v>
      </c>
      <c r="K36" s="80">
        <v>0.85</v>
      </c>
      <c r="L36" s="79">
        <f t="shared" si="3"/>
        <v>14.428571428571429</v>
      </c>
    </row>
    <row r="37" spans="1:12" x14ac:dyDescent="0.25">
      <c r="A37" s="57"/>
      <c r="B37" s="126"/>
      <c r="C37" s="77"/>
      <c r="D37" s="107"/>
      <c r="E37" s="64"/>
      <c r="F37" s="175"/>
      <c r="G37" s="175"/>
      <c r="H37" s="175"/>
      <c r="I37" s="64"/>
      <c r="J37" s="78" t="s">
        <v>46</v>
      </c>
      <c r="K37" s="80">
        <v>0.71</v>
      </c>
      <c r="L37" s="79">
        <f t="shared" si="3"/>
        <v>13.628571428571428</v>
      </c>
    </row>
    <row r="38" spans="1:12" ht="15.75" thickBot="1" x14ac:dyDescent="0.3">
      <c r="A38" s="57"/>
      <c r="B38" s="128"/>
      <c r="C38" s="129"/>
      <c r="D38" s="109"/>
      <c r="E38" s="64"/>
      <c r="F38" s="175"/>
      <c r="G38" s="175"/>
      <c r="H38" s="175"/>
      <c r="I38" s="64"/>
      <c r="J38" s="78" t="s">
        <v>47</v>
      </c>
      <c r="K38" s="80">
        <v>0.6</v>
      </c>
      <c r="L38" s="79">
        <f t="shared" si="3"/>
        <v>13</v>
      </c>
    </row>
    <row r="39" spans="1:12" x14ac:dyDescent="0.25">
      <c r="A39" s="57"/>
      <c r="B39" s="63"/>
      <c r="C39" s="63"/>
      <c r="D39" s="64"/>
      <c r="E39" s="64"/>
      <c r="F39" s="64"/>
      <c r="G39" s="64"/>
      <c r="H39" s="64"/>
      <c r="I39" s="64"/>
      <c r="J39" s="78" t="s">
        <v>48</v>
      </c>
      <c r="K39" s="80">
        <v>0.5</v>
      </c>
      <c r="L39" s="79">
        <f t="shared" si="3"/>
        <v>11.476190476190474</v>
      </c>
    </row>
    <row r="40" spans="1:12" x14ac:dyDescent="0.25">
      <c r="A40" s="57"/>
      <c r="B40" s="63"/>
      <c r="C40" s="63"/>
      <c r="D40" s="64"/>
      <c r="E40" s="64"/>
      <c r="F40" s="64"/>
      <c r="G40" s="64"/>
      <c r="H40" s="64"/>
      <c r="I40" s="64"/>
      <c r="J40" s="68" t="s">
        <v>3</v>
      </c>
      <c r="K40" s="81">
        <v>0.42499999999999999</v>
      </c>
      <c r="L40" s="76">
        <f t="shared" si="3"/>
        <v>10.333333333333332</v>
      </c>
    </row>
    <row r="41" spans="1:12" x14ac:dyDescent="0.25">
      <c r="A41" s="57"/>
      <c r="B41" s="63"/>
      <c r="C41" s="63"/>
      <c r="D41" s="64"/>
      <c r="E41" s="64"/>
      <c r="F41" s="64"/>
      <c r="G41" s="64"/>
      <c r="H41" s="64"/>
      <c r="I41" s="64"/>
      <c r="J41" s="78" t="s">
        <v>49</v>
      </c>
      <c r="K41" s="80">
        <v>0.35499999999999998</v>
      </c>
      <c r="L41" s="79">
        <f t="shared" si="3"/>
        <v>9.2666666666666657</v>
      </c>
    </row>
    <row r="42" spans="1:12" x14ac:dyDescent="0.25">
      <c r="A42" s="57"/>
      <c r="B42" s="63"/>
      <c r="C42" s="63"/>
      <c r="D42" s="64"/>
      <c r="E42" s="64"/>
      <c r="F42" s="64"/>
      <c r="G42" s="64"/>
      <c r="H42" s="64"/>
      <c r="I42" s="64"/>
      <c r="J42" s="78" t="s">
        <v>24</v>
      </c>
      <c r="K42" s="80">
        <v>0.3</v>
      </c>
      <c r="L42" s="79">
        <f t="shared" si="3"/>
        <v>8.428571428571427</v>
      </c>
    </row>
    <row r="43" spans="1:12" x14ac:dyDescent="0.25">
      <c r="A43" s="57"/>
      <c r="B43" s="63"/>
      <c r="C43" s="63"/>
      <c r="D43" s="64"/>
      <c r="E43" s="64"/>
      <c r="F43" s="64"/>
      <c r="G43" s="64"/>
      <c r="H43" s="64"/>
      <c r="I43" s="64"/>
      <c r="J43" s="78" t="s">
        <v>25</v>
      </c>
      <c r="K43" s="80">
        <v>0.25</v>
      </c>
      <c r="L43" s="79">
        <f t="shared" si="3"/>
        <v>7.6666666666666661</v>
      </c>
    </row>
    <row r="44" spans="1:12" x14ac:dyDescent="0.25">
      <c r="A44" s="57"/>
      <c r="B44" s="63"/>
      <c r="C44" s="63"/>
      <c r="D44" s="64"/>
      <c r="E44" s="64"/>
      <c r="F44" s="64"/>
      <c r="G44" s="64"/>
      <c r="H44" s="64"/>
      <c r="I44" s="64"/>
      <c r="J44" s="78" t="s">
        <v>50</v>
      </c>
      <c r="K44" s="80">
        <v>0.21199999999999999</v>
      </c>
      <c r="L44" s="79">
        <f t="shared" si="3"/>
        <v>7.0876190476190475</v>
      </c>
    </row>
    <row r="45" spans="1:12" x14ac:dyDescent="0.25">
      <c r="A45" s="57"/>
      <c r="B45" s="63"/>
      <c r="C45" s="63"/>
      <c r="D45" s="64"/>
      <c r="E45" s="64"/>
      <c r="F45" s="64"/>
      <c r="G45" s="64"/>
      <c r="H45" s="64"/>
      <c r="I45" s="64"/>
      <c r="J45" s="78" t="s">
        <v>26</v>
      </c>
      <c r="K45" s="80">
        <v>0.18</v>
      </c>
      <c r="L45" s="79">
        <f t="shared" si="3"/>
        <v>6.6</v>
      </c>
    </row>
    <row r="46" spans="1:12" x14ac:dyDescent="0.25">
      <c r="A46" s="57"/>
      <c r="B46" s="63"/>
      <c r="C46" s="63"/>
      <c r="D46" s="64"/>
      <c r="E46" s="64"/>
      <c r="F46" s="64"/>
      <c r="G46" s="64"/>
      <c r="H46" s="64"/>
      <c r="I46" s="64"/>
      <c r="J46" s="78" t="s">
        <v>27</v>
      </c>
      <c r="K46" s="80">
        <v>0.15</v>
      </c>
      <c r="L46" s="79">
        <f t="shared" si="3"/>
        <v>6.1428571428571423</v>
      </c>
    </row>
    <row r="47" spans="1:12" x14ac:dyDescent="0.25">
      <c r="A47" s="57"/>
      <c r="B47" s="63"/>
      <c r="C47" s="63"/>
      <c r="D47" s="64"/>
      <c r="E47" s="64"/>
      <c r="F47" s="64"/>
      <c r="G47" s="64"/>
      <c r="H47" s="64"/>
      <c r="I47" s="64"/>
      <c r="J47" s="78" t="s">
        <v>51</v>
      </c>
      <c r="K47" s="80">
        <v>0.125</v>
      </c>
      <c r="L47" s="79">
        <f t="shared" si="3"/>
        <v>5.7619047619047619</v>
      </c>
    </row>
    <row r="48" spans="1:12" x14ac:dyDescent="0.25">
      <c r="A48" s="57"/>
      <c r="B48" s="63"/>
      <c r="C48" s="63"/>
      <c r="D48" s="64"/>
      <c r="E48" s="64"/>
      <c r="F48" s="64"/>
      <c r="G48" s="64"/>
      <c r="H48" s="64"/>
      <c r="I48" s="64"/>
      <c r="J48" s="78" t="s">
        <v>52</v>
      </c>
      <c r="K48" s="80">
        <v>0.106</v>
      </c>
      <c r="L48" s="79">
        <f t="shared" si="3"/>
        <v>5.4723809523809521</v>
      </c>
    </row>
    <row r="49" spans="1:12" x14ac:dyDescent="0.25">
      <c r="A49" s="57"/>
      <c r="B49" s="63"/>
      <c r="C49" s="63"/>
      <c r="D49" s="64"/>
      <c r="E49" s="64"/>
      <c r="F49" s="64"/>
      <c r="G49" s="64"/>
      <c r="H49" s="64"/>
      <c r="I49" s="64"/>
      <c r="J49" s="78" t="s">
        <v>53</v>
      </c>
      <c r="K49" s="80">
        <v>0.09</v>
      </c>
      <c r="L49" s="79">
        <f t="shared" si="3"/>
        <v>5.2285714285714286</v>
      </c>
    </row>
    <row r="50" spans="1:12" x14ac:dyDescent="0.25">
      <c r="A50" s="57"/>
      <c r="B50" s="63"/>
      <c r="C50" s="63"/>
      <c r="D50" s="64"/>
      <c r="E50" s="64"/>
      <c r="F50" s="64"/>
      <c r="G50" s="64"/>
      <c r="H50" s="64"/>
      <c r="I50" s="64"/>
      <c r="J50" s="68" t="s">
        <v>4</v>
      </c>
      <c r="K50" s="81">
        <v>7.4999999999999997E-2</v>
      </c>
      <c r="L50" s="76">
        <f t="shared" si="3"/>
        <v>5</v>
      </c>
    </row>
    <row r="51" spans="1:12" x14ac:dyDescent="0.25">
      <c r="A51" s="57"/>
      <c r="B51" s="63"/>
      <c r="C51" s="63"/>
      <c r="D51" s="64"/>
      <c r="E51" s="64"/>
      <c r="F51" s="64"/>
      <c r="G51" s="64"/>
      <c r="H51" s="64"/>
      <c r="I51" s="64"/>
      <c r="J51" s="78" t="s">
        <v>54</v>
      </c>
      <c r="K51" s="80">
        <v>6.3E-2</v>
      </c>
      <c r="L51" s="80">
        <f t="shared" si="3"/>
        <v>4.2</v>
      </c>
    </row>
    <row r="52" spans="1:12" x14ac:dyDescent="0.25">
      <c r="A52" s="57"/>
      <c r="B52" s="63"/>
      <c r="C52" s="63"/>
      <c r="D52" s="64"/>
      <c r="E52" s="64"/>
      <c r="F52" s="64"/>
      <c r="G52" s="64"/>
      <c r="H52" s="64"/>
      <c r="I52" s="64"/>
      <c r="J52" s="78" t="s">
        <v>28</v>
      </c>
      <c r="K52" s="80">
        <v>5.2999999999999999E-2</v>
      </c>
      <c r="L52" s="80">
        <f t="shared" si="3"/>
        <v>3.5333333333333337</v>
      </c>
    </row>
    <row r="53" spans="1:12" x14ac:dyDescent="0.25">
      <c r="A53" s="57"/>
      <c r="B53" s="63"/>
      <c r="C53" s="63"/>
      <c r="D53" s="64"/>
      <c r="E53" s="64"/>
      <c r="F53" s="64"/>
      <c r="G53" s="64"/>
      <c r="H53" s="64"/>
      <c r="I53" s="64"/>
      <c r="J53" s="78" t="s">
        <v>55</v>
      </c>
      <c r="K53" s="80">
        <v>4.4999999999999998E-2</v>
      </c>
      <c r="L53" s="80">
        <f t="shared" si="3"/>
        <v>3</v>
      </c>
    </row>
    <row r="54" spans="1:12" x14ac:dyDescent="0.25">
      <c r="A54" s="57"/>
      <c r="B54" s="63"/>
      <c r="C54" s="63"/>
      <c r="D54" s="64"/>
      <c r="E54" s="64"/>
      <c r="F54" s="64"/>
      <c r="G54" s="64"/>
      <c r="H54" s="64"/>
      <c r="I54" s="64"/>
      <c r="J54" s="78" t="s">
        <v>56</v>
      </c>
      <c r="K54" s="80">
        <v>3.7999999999999999E-2</v>
      </c>
      <c r="L54" s="80">
        <f t="shared" si="3"/>
        <v>2.5333333333333337</v>
      </c>
    </row>
    <row r="55" spans="1:12" x14ac:dyDescent="0.25">
      <c r="A55" s="57"/>
      <c r="B55" s="63"/>
      <c r="C55" s="63"/>
      <c r="D55" s="64"/>
      <c r="E55" s="64"/>
      <c r="F55" s="64"/>
      <c r="G55" s="64"/>
      <c r="H55" s="64"/>
      <c r="I55" s="64"/>
      <c r="J55" s="78" t="s">
        <v>57</v>
      </c>
      <c r="K55" s="80">
        <v>3.2000000000000001E-2</v>
      </c>
      <c r="L55" s="80">
        <f t="shared" si="3"/>
        <v>2.1333333333333337</v>
      </c>
    </row>
    <row r="56" spans="1:12" x14ac:dyDescent="0.25">
      <c r="A56" s="57"/>
      <c r="B56" s="63"/>
      <c r="C56" s="63"/>
      <c r="D56" s="64"/>
      <c r="E56" s="64"/>
      <c r="F56" s="64"/>
      <c r="G56" s="64"/>
      <c r="H56" s="64"/>
      <c r="I56" s="64"/>
      <c r="J56" s="78" t="s">
        <v>58</v>
      </c>
      <c r="K56" s="80">
        <v>2.5000000000000001E-2</v>
      </c>
      <c r="L56" s="80">
        <f t="shared" si="3"/>
        <v>1.666666666666667</v>
      </c>
    </row>
    <row r="57" spans="1:12" x14ac:dyDescent="0.25">
      <c r="A57" s="57"/>
      <c r="B57" s="63"/>
      <c r="C57" s="63"/>
      <c r="D57" s="64"/>
      <c r="E57" s="64"/>
      <c r="F57" s="64"/>
      <c r="G57" s="64"/>
      <c r="H57" s="64"/>
      <c r="I57" s="64"/>
      <c r="J57" s="78" t="s">
        <v>59</v>
      </c>
      <c r="K57" s="80">
        <v>0.02</v>
      </c>
      <c r="L57" s="80">
        <f t="shared" si="3"/>
        <v>1.3333333333333335</v>
      </c>
    </row>
  </sheetData>
  <sheetProtection selectLockedCells="1"/>
  <mergeCells count="19">
    <mergeCell ref="F26:H38"/>
    <mergeCell ref="F23:G23"/>
    <mergeCell ref="F24:G24"/>
    <mergeCell ref="B2:D2"/>
    <mergeCell ref="F2:H2"/>
    <mergeCell ref="B18:D18"/>
    <mergeCell ref="C19:D19"/>
    <mergeCell ref="C20:D20"/>
    <mergeCell ref="B21:B23"/>
    <mergeCell ref="C21:D23"/>
    <mergeCell ref="B24:B26"/>
    <mergeCell ref="C24:D26"/>
    <mergeCell ref="J2:L2"/>
    <mergeCell ref="B3:C3"/>
    <mergeCell ref="D3:D4"/>
    <mergeCell ref="F3:G3"/>
    <mergeCell ref="H3:H4"/>
    <mergeCell ref="J3:K3"/>
    <mergeCell ref="L3:L4"/>
  </mergeCells>
  <printOptions horizontalCentered="1" verticalCentered="1"/>
  <pageMargins left="0" right="0" top="0" bottom="0" header="0" footer="0"/>
  <pageSetup paperSize="9" scale="99" fitToWidth="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D57"/>
  <sheetViews>
    <sheetView view="pageBreakPreview" topLeftCell="C1" zoomScaleNormal="85" zoomScaleSheetLayoutView="100" workbookViewId="0">
      <selection activeCell="J7" sqref="J7"/>
    </sheetView>
  </sheetViews>
  <sheetFormatPr defaultRowHeight="15" x14ac:dyDescent="0.25"/>
  <cols>
    <col min="1" max="1" width="1.7109375" customWidth="1"/>
    <col min="2" max="3" width="7.7109375" style="58" customWidth="1"/>
    <col min="4" max="4" width="7.7109375" style="60" customWidth="1"/>
    <col min="5" max="5" width="10.7109375" style="60" customWidth="1"/>
    <col min="6" max="6" width="11.5703125" style="60" customWidth="1"/>
    <col min="7" max="7" width="1.7109375" style="60" customWidth="1"/>
    <col min="8" max="9" width="2.7109375" style="60" customWidth="1"/>
    <col min="10" max="10" width="7.7109375" style="60" customWidth="1"/>
    <col min="11" max="11" width="1.7109375" style="60" customWidth="1"/>
    <col min="12" max="14" width="7.7109375" style="58" customWidth="1"/>
    <col min="15" max="15" width="10.7109375" style="58" customWidth="1"/>
    <col min="16" max="16" width="9.28515625" style="85" customWidth="1"/>
    <col min="17" max="17" width="1.140625" customWidth="1"/>
  </cols>
  <sheetData>
    <row r="1" spans="1:30" ht="6" customHeight="1" x14ac:dyDescent="0.25">
      <c r="A1" s="57"/>
      <c r="B1" s="63"/>
      <c r="C1" s="63"/>
      <c r="D1" s="64"/>
      <c r="E1" s="64"/>
      <c r="F1" s="64"/>
      <c r="G1" s="64"/>
      <c r="H1" s="64"/>
      <c r="I1" s="64"/>
      <c r="J1" s="83"/>
      <c r="K1" s="86"/>
      <c r="L1" s="63"/>
      <c r="M1" s="63"/>
      <c r="N1" s="63"/>
      <c r="O1" s="63"/>
      <c r="P1" s="84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</row>
    <row r="2" spans="1:30" ht="15" customHeight="1" x14ac:dyDescent="0.25">
      <c r="A2" s="57"/>
      <c r="B2" s="197" t="s">
        <v>29</v>
      </c>
      <c r="C2" s="198"/>
      <c r="D2" s="198"/>
      <c r="E2" s="199"/>
      <c r="F2" s="133" t="s">
        <v>108</v>
      </c>
      <c r="G2" s="88"/>
      <c r="H2" s="194" t="s">
        <v>67</v>
      </c>
      <c r="I2" s="194"/>
      <c r="J2" s="194"/>
      <c r="K2" s="86"/>
      <c r="L2" s="192" t="s">
        <v>65</v>
      </c>
      <c r="M2" s="192"/>
      <c r="N2" s="192"/>
      <c r="O2" s="192"/>
      <c r="P2" s="132" t="s">
        <v>93</v>
      </c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s="59" customFormat="1" ht="15" customHeight="1" x14ac:dyDescent="0.25">
      <c r="A3" s="66"/>
      <c r="B3" s="171" t="s">
        <v>18</v>
      </c>
      <c r="C3" s="171"/>
      <c r="D3" s="172" t="s">
        <v>70</v>
      </c>
      <c r="E3" s="190" t="s">
        <v>83</v>
      </c>
      <c r="F3" s="123">
        <f>SUM(F5:F15)</f>
        <v>3.8584442595178889</v>
      </c>
      <c r="G3" s="89"/>
      <c r="H3" s="195" t="s">
        <v>72</v>
      </c>
      <c r="I3" s="195"/>
      <c r="J3" s="130">
        <v>14.554805101213599</v>
      </c>
      <c r="K3" s="86"/>
      <c r="L3" s="173" t="s">
        <v>18</v>
      </c>
      <c r="M3" s="173"/>
      <c r="N3" s="174" t="s">
        <v>69</v>
      </c>
      <c r="O3" s="190" t="s">
        <v>83</v>
      </c>
      <c r="P3" s="123">
        <f>SUMPRODUCT(P5:P56)/53</f>
        <v>33.046974879872081</v>
      </c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</row>
    <row r="4" spans="1:30" s="59" customFormat="1" ht="15" customHeight="1" x14ac:dyDescent="0.25">
      <c r="A4" s="66"/>
      <c r="B4" s="145" t="s">
        <v>19</v>
      </c>
      <c r="C4" s="145" t="s">
        <v>0</v>
      </c>
      <c r="D4" s="172"/>
      <c r="E4" s="191"/>
      <c r="F4" s="133" t="s">
        <v>107</v>
      </c>
      <c r="G4" s="89"/>
      <c r="H4" s="195" t="s">
        <v>85</v>
      </c>
      <c r="I4" s="195"/>
      <c r="J4" s="130">
        <v>9.139586459422393</v>
      </c>
      <c r="K4" s="87"/>
      <c r="L4" s="146" t="s">
        <v>19</v>
      </c>
      <c r="M4" s="146" t="s">
        <v>0</v>
      </c>
      <c r="N4" s="174"/>
      <c r="O4" s="191"/>
      <c r="P4" s="132" t="s">
        <v>68</v>
      </c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</row>
    <row r="5" spans="1:30" ht="15" customHeight="1" x14ac:dyDescent="0.25">
      <c r="A5" s="57"/>
      <c r="B5" s="149">
        <f>IFERROR(INDEX($L$5:$N$57,MATCH(C5,$M$5:$M$57,),1,1),"")</f>
        <v>5</v>
      </c>
      <c r="C5" s="154">
        <v>125</v>
      </c>
      <c r="D5" s="143">
        <v>100</v>
      </c>
      <c r="E5" s="100">
        <f t="shared" ref="E5:E15" si="0">(1/LN(EXP(1)+($J$3/C5)^$J$4)^$J$5)*(1-(LN(1+($J$6/C5))/LN(1+($J$6/$J$7)))^7)*100</f>
        <v>99.994826184333164</v>
      </c>
      <c r="F5" s="124">
        <f>(D5-E5)^2</f>
        <v>2.6768368554401677E-5</v>
      </c>
      <c r="G5" s="74"/>
      <c r="H5" s="195" t="s">
        <v>73</v>
      </c>
      <c r="I5" s="195"/>
      <c r="J5" s="130">
        <v>0.94542876133167508</v>
      </c>
      <c r="K5" s="87"/>
      <c r="L5" s="98">
        <v>5</v>
      </c>
      <c r="M5" s="99">
        <v>125</v>
      </c>
      <c r="N5" s="99">
        <f>INDEX($D$5:$D$16,MATCH(M5,$C$5:$C$15,-1)+1)+(M5-INDEX($C$5:$C$16,MATCH(M5,$C$5:$C$15,-1)+1))*((INDEX($D$5:$D$16,MATCH(M5,$C$5:$C$15,-1))-INDEX($D$5:$D$16,MATCH(M5,$C$5:$C$15,-1)+1))/(INDEX($C$5:$C$16,MATCH(M5,$C$5:$C$15,-1))-INDEX($C$5:$C$16,MATCH(M5,$C$5:$C$15,-1)+1)))</f>
        <v>100</v>
      </c>
      <c r="O5" s="100">
        <f t="shared" ref="O5" si="1">(1/((LN(EXP(1)+($J$3/M5)^$J$4))^$J$5))*(1-(LN(1+($J$6/M5))/LN(1+($J$6/$J$7)))^7)*100</f>
        <v>99.994826184333164</v>
      </c>
      <c r="P5" s="124">
        <f>IF(ISNUMBER((N5-O5)^2),(N5-O5)^2,0)</f>
        <v>2.6768368554401677E-5</v>
      </c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ht="15" customHeight="1" x14ac:dyDescent="0.25">
      <c r="A6" s="57"/>
      <c r="B6" s="149">
        <f t="shared" ref="B6:B15" si="2">IFERROR(INDEX($L$5:$N$57,MATCH(C6,$M$5:$M$57,),1,1),"")</f>
        <v>2.9999999999999996</v>
      </c>
      <c r="C6" s="154">
        <v>75</v>
      </c>
      <c r="D6" s="143">
        <v>100</v>
      </c>
      <c r="E6" s="100">
        <f t="shared" si="0"/>
        <v>99.981470182491378</v>
      </c>
      <c r="F6" s="124">
        <f t="shared" ref="F6:F15" si="3">(D6-E6)^2</f>
        <v>3.4335413690282348E-4</v>
      </c>
      <c r="G6" s="74"/>
      <c r="H6" s="195" t="s">
        <v>74</v>
      </c>
      <c r="I6" s="195"/>
      <c r="J6" s="134">
        <v>1205.0465987763118</v>
      </c>
      <c r="K6" s="87"/>
      <c r="L6" s="101">
        <v>4.24</v>
      </c>
      <c r="M6" s="102">
        <v>106</v>
      </c>
      <c r="N6" s="102">
        <f t="shared" ref="N6:N57" si="4">INDEX($D$5:$D$16,MATCH(M6,$C$5:$C$15,-1)+1)+(M6-INDEX($C$5:$C$16,MATCH(M6,$C$5:$C$15,-1)+1))*((INDEX($D$5:$D$16,MATCH(M6,$C$5:$C$15,-1))-INDEX($D$5:$D$16,MATCH(M6,$C$5:$C$15,-1)+1))/(INDEX($C$5:$C$16,MATCH(M6,$C$5:$C$15,-1))-INDEX($C$5:$C$16,MATCH(M6,$C$5:$C$15,-1)+1)))</f>
        <v>100</v>
      </c>
      <c r="O6" s="100">
        <f>(1/((LN(EXP(1)+($J$3/M6)^$J$4))^$J$5))*(1-(LN(1+($J$6/M6))/LN(1+($J$6/$J$7)))^7)*100</f>
        <v>99.992031259572101</v>
      </c>
      <c r="P6" s="124">
        <f t="shared" ref="P6:P56" si="5">IF(ISNUMBER((N6-O6)^2),(N6-O6)^2,0)</f>
        <v>6.350082400722435E-5</v>
      </c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ht="15" customHeight="1" x14ac:dyDescent="0.25">
      <c r="A7" s="57"/>
      <c r="B7" s="149">
        <f t="shared" si="2"/>
        <v>3.5</v>
      </c>
      <c r="C7" s="154">
        <v>90</v>
      </c>
      <c r="D7" s="143">
        <v>100</v>
      </c>
      <c r="E7" s="100">
        <f t="shared" si="0"/>
        <v>99.988002701685446</v>
      </c>
      <c r="F7" s="124">
        <f t="shared" si="3"/>
        <v>1.439351668484105E-4</v>
      </c>
      <c r="G7" s="74"/>
      <c r="H7" s="195" t="s">
        <v>75</v>
      </c>
      <c r="I7" s="195"/>
      <c r="J7" s="130">
        <v>7.4999999999999997E-2</v>
      </c>
      <c r="K7" s="87"/>
      <c r="L7" s="101">
        <v>4</v>
      </c>
      <c r="M7" s="102">
        <v>100</v>
      </c>
      <c r="N7" s="102">
        <f t="shared" si="4"/>
        <v>100</v>
      </c>
      <c r="O7" s="100">
        <f t="shared" ref="O7:O57" si="6">(1/((LN(EXP(1)+($J$3/M7)^$J$4))^$J$5))*(1-(LN(1+($J$6/M7))/LN(1+($J$6/$J$7)))^7)*100</f>
        <v>99.990761442819078</v>
      </c>
      <c r="P7" s="124">
        <f t="shared" si="5"/>
        <v>8.5350938785159962E-5</v>
      </c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ht="15" customHeight="1" thickBot="1" x14ac:dyDescent="0.3">
      <c r="A8" s="57"/>
      <c r="B8" s="149">
        <f t="shared" si="2"/>
        <v>2</v>
      </c>
      <c r="C8" s="154">
        <v>50</v>
      </c>
      <c r="D8" s="143">
        <v>100</v>
      </c>
      <c r="E8" s="100">
        <f t="shared" si="0"/>
        <v>99.954358592103659</v>
      </c>
      <c r="F8" s="124">
        <f t="shared" si="3"/>
        <v>2.083138114760135E-3</v>
      </c>
      <c r="G8" s="74"/>
      <c r="H8" s="193"/>
      <c r="I8" s="193"/>
      <c r="J8" s="113"/>
      <c r="K8" s="87"/>
      <c r="L8" s="101">
        <v>3.5</v>
      </c>
      <c r="M8" s="102">
        <v>90</v>
      </c>
      <c r="N8" s="102">
        <f t="shared" si="4"/>
        <v>100</v>
      </c>
      <c r="O8" s="100">
        <f t="shared" si="6"/>
        <v>99.988002701685446</v>
      </c>
      <c r="P8" s="124">
        <f t="shared" si="5"/>
        <v>1.439351668484105E-4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ht="15" customHeight="1" x14ac:dyDescent="0.25">
      <c r="A9" s="57"/>
      <c r="B9" s="149">
        <f t="shared" si="2"/>
        <v>1.75</v>
      </c>
      <c r="C9" s="154">
        <v>45</v>
      </c>
      <c r="D9" s="143">
        <v>100</v>
      </c>
      <c r="E9" s="100">
        <f t="shared" si="0"/>
        <v>99.942705562846896</v>
      </c>
      <c r="F9" s="124">
        <f t="shared" si="3"/>
        <v>3.2826525286909465E-3</v>
      </c>
      <c r="G9" s="74"/>
      <c r="H9" s="114" t="s">
        <v>61</v>
      </c>
      <c r="I9" s="115">
        <v>60</v>
      </c>
      <c r="J9" s="119">
        <f>INDEX($M$5:$M$57,MATCH(I9,$O$5:$O$57,-1)+1)+(INDEX($M$5:$M$57,MATCH(I9,$O$5:$O$57,-1))-INDEX($M$5:$M$57,MATCH(I9,$O$5:$O$57,-1)+1))*((I9-INDEX($O$5:$O$57,MATCH(I9,$O$5:$O$57,-1)+1))/(INDEX($O$5:$O$57,MATCH(I9,$O$5:$O$57,-1))-INDEX($O$5:$O$57,MATCH(I9,$O$5:$O$57,-1)+1)))</f>
        <v>13.12110387776449</v>
      </c>
      <c r="K9" s="87"/>
      <c r="L9" s="98">
        <v>2.9999999999999996</v>
      </c>
      <c r="M9" s="99">
        <v>75</v>
      </c>
      <c r="N9" s="99">
        <f>INDEX($D$5:$D$16,MATCH(M9,$C$5:$C$15,-1)+1)+(M9-INDEX($C$5:$C$16,MATCH(M9,$C$5:$C$15,-1)+1))*((INDEX($D$5:$D$16,MATCH(M9,$C$5:$C$15,-1))-INDEX($D$5:$D$16,MATCH(M9,$C$5:$C$15,-1)+1))/(INDEX($C$5:$C$16,MATCH(M9,$C$5:$C$15,-1))-INDEX($C$5:$C$16,MATCH(M9,$C$5:$C$15,-1)+1)))</f>
        <v>100</v>
      </c>
      <c r="O9" s="100">
        <f t="shared" si="6"/>
        <v>99.981470182491378</v>
      </c>
      <c r="P9" s="124">
        <f t="shared" si="5"/>
        <v>3.4335413690282348E-4</v>
      </c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</row>
    <row r="10" spans="1:30" ht="15" customHeight="1" x14ac:dyDescent="0.25">
      <c r="A10" s="57"/>
      <c r="B10" s="149">
        <f t="shared" si="2"/>
        <v>1.4999999999999998</v>
      </c>
      <c r="C10" s="154">
        <v>37.5</v>
      </c>
      <c r="D10" s="143">
        <v>100</v>
      </c>
      <c r="E10" s="100">
        <f t="shared" si="0"/>
        <v>99.91330082564977</v>
      </c>
      <c r="F10" s="124">
        <f t="shared" si="3"/>
        <v>7.5167468330115221E-3</v>
      </c>
      <c r="G10" s="74"/>
      <c r="H10" s="116" t="s">
        <v>61</v>
      </c>
      <c r="I10" s="117">
        <v>50</v>
      </c>
      <c r="J10" s="120">
        <f t="shared" ref="J10:J13" si="7">INDEX($M$5:$M$57,MATCH(I10,$O$5:$O$57,-1)+1)+(INDEX($M$5:$M$57,MATCH(I10,$O$5:$O$57,-1))-INDEX($M$5:$M$57,MATCH(I10,$O$5:$O$57,-1)+1))*((I10-INDEX($O$5:$O$57,MATCH(I10,$O$5:$O$57,-1)+1))/(INDEX($O$5:$O$57,MATCH(I10,$O$5:$O$57,-1))-INDEX($O$5:$O$57,MATCH(I10,$O$5:$O$57,-1)+1)))</f>
        <v>12.126685050049501</v>
      </c>
      <c r="K10" s="87"/>
      <c r="L10" s="101">
        <v>2.5</v>
      </c>
      <c r="M10" s="102">
        <v>63</v>
      </c>
      <c r="N10" s="103">
        <f t="shared" si="4"/>
        <v>100</v>
      </c>
      <c r="O10" s="104">
        <f t="shared" si="6"/>
        <v>99.972442508401258</v>
      </c>
      <c r="P10" s="124">
        <f t="shared" si="5"/>
        <v>7.5941534321473532E-4</v>
      </c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</row>
    <row r="11" spans="1:30" ht="15" customHeight="1" x14ac:dyDescent="0.25">
      <c r="A11" s="57"/>
      <c r="B11" s="149">
        <f t="shared" si="2"/>
        <v>1</v>
      </c>
      <c r="C11" s="154">
        <v>25</v>
      </c>
      <c r="D11" s="143">
        <v>100</v>
      </c>
      <c r="E11" s="100">
        <f t="shared" si="0"/>
        <v>99.583059692146662</v>
      </c>
      <c r="F11" s="124">
        <f t="shared" si="3"/>
        <v>0.17383922031283611</v>
      </c>
      <c r="G11" s="74"/>
      <c r="H11" s="116" t="s">
        <v>61</v>
      </c>
      <c r="I11" s="118">
        <v>30</v>
      </c>
      <c r="J11" s="120">
        <f t="shared" si="7"/>
        <v>9.8859397107140907</v>
      </c>
      <c r="K11" s="87"/>
      <c r="L11" s="101">
        <v>2.12</v>
      </c>
      <c r="M11" s="102">
        <v>53</v>
      </c>
      <c r="N11" s="103">
        <f t="shared" si="4"/>
        <v>100</v>
      </c>
      <c r="O11" s="104">
        <f t="shared" si="6"/>
        <v>99.959748921271242</v>
      </c>
      <c r="P11" s="124">
        <f t="shared" si="5"/>
        <v>1.6201493388286921E-3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</row>
    <row r="12" spans="1:30" ht="15" customHeight="1" x14ac:dyDescent="0.25">
      <c r="A12" s="57"/>
      <c r="B12" s="149">
        <f t="shared" si="2"/>
        <v>0.5</v>
      </c>
      <c r="C12" s="154">
        <v>12.5</v>
      </c>
      <c r="D12" s="143">
        <v>54</v>
      </c>
      <c r="E12" s="100">
        <f t="shared" si="0"/>
        <v>54.015027571019338</v>
      </c>
      <c r="F12" s="124">
        <f t="shared" si="3"/>
        <v>2.2582789074125881E-4</v>
      </c>
      <c r="G12" s="74"/>
      <c r="H12" s="116" t="s">
        <v>61</v>
      </c>
      <c r="I12" s="118">
        <v>20</v>
      </c>
      <c r="J12" s="120">
        <f t="shared" si="7"/>
        <v>8.0378678566364705</v>
      </c>
      <c r="K12" s="87"/>
      <c r="L12" s="98">
        <v>2</v>
      </c>
      <c r="M12" s="99">
        <v>50</v>
      </c>
      <c r="N12" s="105">
        <f>INDEX($D$5:$D$16,MATCH(M12,$C$5:$C$15,-1)+1)+(M12-INDEX($C$5:$C$16,MATCH(M12,$C$5:$C$15,-1)+1))*((INDEX($D$5:$D$16,MATCH(M12,$C$5:$C$15,-1))-INDEX($D$5:$D$16,MATCH(M12,$C$5:$C$15,-1)+1))/(INDEX($C$5:$C$16,MATCH(M12,$C$5:$C$15,-1))-INDEX($C$5:$C$16,MATCH(M12,$C$5:$C$15,-1)+1)))</f>
        <v>100</v>
      </c>
      <c r="O12" s="104">
        <f t="shared" si="6"/>
        <v>99.954358592103659</v>
      </c>
      <c r="P12" s="124">
        <f t="shared" si="5"/>
        <v>2.083138114760135E-3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</row>
    <row r="13" spans="1:30" ht="15" customHeight="1" x14ac:dyDescent="0.25">
      <c r="A13" s="57"/>
      <c r="B13" s="149" t="str">
        <f t="shared" si="2"/>
        <v>No.10</v>
      </c>
      <c r="C13" s="154">
        <v>2</v>
      </c>
      <c r="D13" s="143">
        <v>7</v>
      </c>
      <c r="E13" s="100">
        <f t="shared" si="0"/>
        <v>6.1007548154962299</v>
      </c>
      <c r="F13" s="124">
        <f t="shared" si="3"/>
        <v>0.8086419018532196</v>
      </c>
      <c r="G13" s="74"/>
      <c r="H13" s="116" t="s">
        <v>61</v>
      </c>
      <c r="I13" s="118">
        <v>10</v>
      </c>
      <c r="J13" s="120">
        <f t="shared" si="7"/>
        <v>4.2896229082698332</v>
      </c>
      <c r="K13" s="87"/>
      <c r="L13" s="101">
        <v>1.75</v>
      </c>
      <c r="M13" s="102">
        <v>45</v>
      </c>
      <c r="N13" s="103">
        <f t="shared" si="4"/>
        <v>100</v>
      </c>
      <c r="O13" s="104">
        <f t="shared" si="6"/>
        <v>99.942705562846896</v>
      </c>
      <c r="P13" s="124">
        <f t="shared" si="5"/>
        <v>3.2826525286909465E-3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</row>
    <row r="14" spans="1:30" ht="15" customHeight="1" x14ac:dyDescent="0.25">
      <c r="A14" s="57"/>
      <c r="B14" s="149" t="str">
        <f t="shared" si="2"/>
        <v>No.30</v>
      </c>
      <c r="C14" s="154">
        <v>0.6</v>
      </c>
      <c r="D14" s="143">
        <v>2</v>
      </c>
      <c r="E14" s="100">
        <f t="shared" si="0"/>
        <v>3.3646760473871899</v>
      </c>
      <c r="F14" s="124">
        <f t="shared" si="3"/>
        <v>1.8623407143123238</v>
      </c>
      <c r="G14" s="74"/>
      <c r="H14" s="176" t="s">
        <v>62</v>
      </c>
      <c r="I14" s="177"/>
      <c r="J14" s="121">
        <f>$J$9/$J$13</f>
        <v>3.0588012415890251</v>
      </c>
      <c r="K14" s="87"/>
      <c r="L14" s="98">
        <v>1.4999999999999998</v>
      </c>
      <c r="M14" s="105">
        <v>37.5</v>
      </c>
      <c r="N14" s="105">
        <f t="shared" si="4"/>
        <v>100</v>
      </c>
      <c r="O14" s="104">
        <f t="shared" si="6"/>
        <v>99.91330082564977</v>
      </c>
      <c r="P14" s="124">
        <f t="shared" si="5"/>
        <v>7.5167468330115221E-3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</row>
    <row r="15" spans="1:30" ht="15" customHeight="1" thickBot="1" x14ac:dyDescent="0.3">
      <c r="A15" s="57"/>
      <c r="B15" s="149" t="str">
        <f t="shared" si="2"/>
        <v>No.200</v>
      </c>
      <c r="C15" s="154">
        <v>7.4999999999999997E-2</v>
      </c>
      <c r="D15" s="143">
        <v>1</v>
      </c>
      <c r="E15" s="100">
        <f t="shared" si="0"/>
        <v>0</v>
      </c>
      <c r="F15" s="124">
        <f t="shared" si="3"/>
        <v>1</v>
      </c>
      <c r="G15" s="74"/>
      <c r="H15" s="178" t="s">
        <v>63</v>
      </c>
      <c r="I15" s="179"/>
      <c r="J15" s="122">
        <f>($J$11^2)/($J$13*$J$9)</f>
        <v>1.7363865993491965</v>
      </c>
      <c r="K15" s="87"/>
      <c r="L15" s="101">
        <v>1.25</v>
      </c>
      <c r="M15" s="103">
        <v>31.5</v>
      </c>
      <c r="N15" s="103">
        <f t="shared" si="4"/>
        <v>100</v>
      </c>
      <c r="O15" s="104">
        <f t="shared" si="6"/>
        <v>99.857825950364671</v>
      </c>
      <c r="P15" s="124">
        <f t="shared" si="5"/>
        <v>2.0213460389709115E-2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</row>
    <row r="16" spans="1:30" ht="15" customHeight="1" thickBot="1" x14ac:dyDescent="0.3">
      <c r="A16" s="57"/>
      <c r="B16" s="94"/>
      <c r="C16" s="94"/>
      <c r="D16" s="95"/>
      <c r="E16" s="144"/>
      <c r="F16" s="144"/>
      <c r="G16" s="144"/>
      <c r="H16" s="84"/>
      <c r="I16" s="77"/>
      <c r="J16" s="87"/>
      <c r="K16" s="87"/>
      <c r="L16" s="68">
        <v>1</v>
      </c>
      <c r="M16" s="69">
        <v>25</v>
      </c>
      <c r="N16" s="70">
        <f t="shared" si="4"/>
        <v>100</v>
      </c>
      <c r="O16" s="104">
        <f t="shared" si="6"/>
        <v>99.583059692146662</v>
      </c>
      <c r="P16" s="124">
        <f t="shared" si="5"/>
        <v>0.17383922031283611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</row>
    <row r="17" spans="1:30" ht="15" customHeight="1" x14ac:dyDescent="0.25">
      <c r="A17" s="57"/>
      <c r="B17" s="214"/>
      <c r="C17" s="215"/>
      <c r="D17" s="215"/>
      <c r="E17" s="215"/>
      <c r="F17" s="215"/>
      <c r="G17" s="215"/>
      <c r="H17" s="215"/>
      <c r="I17" s="215"/>
      <c r="J17" s="216"/>
      <c r="K17" s="87"/>
      <c r="L17" s="71">
        <v>0.875</v>
      </c>
      <c r="M17" s="73">
        <v>22.4</v>
      </c>
      <c r="N17" s="73">
        <f t="shared" si="4"/>
        <v>90.431999999999988</v>
      </c>
      <c r="O17" s="104">
        <f t="shared" si="6"/>
        <v>99.125954659848531</v>
      </c>
      <c r="P17" s="124">
        <f t="shared" si="5"/>
        <v>75.584847627502199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</row>
    <row r="18" spans="1:30" ht="15" customHeight="1" x14ac:dyDescent="0.25">
      <c r="A18" s="57"/>
      <c r="B18" s="201"/>
      <c r="C18" s="217"/>
      <c r="D18" s="217"/>
      <c r="E18" s="217"/>
      <c r="F18" s="217"/>
      <c r="G18" s="217"/>
      <c r="H18" s="217"/>
      <c r="I18" s="217"/>
      <c r="J18" s="218"/>
      <c r="K18" s="87"/>
      <c r="L18" s="68">
        <v>0.74999999999999989</v>
      </c>
      <c r="M18" s="69">
        <v>19</v>
      </c>
      <c r="N18" s="70">
        <f t="shared" si="4"/>
        <v>77.92</v>
      </c>
      <c r="O18" s="104">
        <f t="shared" si="6"/>
        <v>96.829084770611402</v>
      </c>
      <c r="P18" s="124">
        <f t="shared" si="5"/>
        <v>357.55348686216797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</row>
    <row r="19" spans="1:30" ht="15" customHeight="1" x14ac:dyDescent="0.25">
      <c r="A19" s="57"/>
      <c r="B19" s="201"/>
      <c r="C19" s="217"/>
      <c r="D19" s="217"/>
      <c r="E19" s="217"/>
      <c r="F19" s="217"/>
      <c r="G19" s="217"/>
      <c r="H19" s="217"/>
      <c r="I19" s="217"/>
      <c r="J19" s="218"/>
      <c r="K19" s="87"/>
      <c r="L19" s="71">
        <v>0.625</v>
      </c>
      <c r="M19" s="72">
        <v>16</v>
      </c>
      <c r="N19" s="73">
        <f t="shared" si="4"/>
        <v>66.88</v>
      </c>
      <c r="O19" s="104">
        <f t="shared" si="6"/>
        <v>87.741114706117088</v>
      </c>
      <c r="P19" s="124">
        <f t="shared" si="5"/>
        <v>435.18610678177481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</row>
    <row r="20" spans="1:30" ht="15" customHeight="1" thickBot="1" x14ac:dyDescent="0.3">
      <c r="A20" s="57"/>
      <c r="B20" s="201"/>
      <c r="C20" s="217"/>
      <c r="D20" s="217"/>
      <c r="E20" s="217"/>
      <c r="F20" s="217"/>
      <c r="G20" s="217"/>
      <c r="H20" s="217"/>
      <c r="I20" s="217"/>
      <c r="J20" s="218"/>
      <c r="K20" s="144"/>
      <c r="L20" s="71">
        <v>0.5</v>
      </c>
      <c r="M20" s="73">
        <v>12.5</v>
      </c>
      <c r="N20" s="73">
        <f t="shared" si="4"/>
        <v>54</v>
      </c>
      <c r="O20" s="104">
        <f t="shared" si="6"/>
        <v>54.015027571019338</v>
      </c>
      <c r="P20" s="124">
        <f t="shared" si="5"/>
        <v>2.2582789074125881E-4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</row>
    <row r="21" spans="1:30" ht="15" customHeight="1" x14ac:dyDescent="0.25">
      <c r="A21" s="57"/>
      <c r="B21" s="211" t="s">
        <v>66</v>
      </c>
      <c r="C21" s="212"/>
      <c r="D21" s="212"/>
      <c r="E21" s="212"/>
      <c r="F21" s="212"/>
      <c r="G21" s="212"/>
      <c r="H21" s="212"/>
      <c r="I21" s="212"/>
      <c r="J21" s="213"/>
      <c r="K21" s="144"/>
      <c r="L21" s="71">
        <v>0.4375</v>
      </c>
      <c r="M21" s="73">
        <v>11.2</v>
      </c>
      <c r="N21" s="73">
        <f t="shared" si="4"/>
        <v>48.180952380952377</v>
      </c>
      <c r="O21" s="104">
        <f t="shared" si="6"/>
        <v>40.03343952313314</v>
      </c>
      <c r="P21" s="124">
        <f t="shared" si="5"/>
        <v>66.381965768329792</v>
      </c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</row>
    <row r="22" spans="1:30" ht="15" customHeight="1" x14ac:dyDescent="0.25">
      <c r="A22" s="57"/>
      <c r="B22" s="106"/>
      <c r="C22" s="92"/>
      <c r="D22" s="92"/>
      <c r="E22" s="144"/>
      <c r="F22" s="144"/>
      <c r="G22" s="144"/>
      <c r="H22" s="84"/>
      <c r="I22" s="77"/>
      <c r="J22" s="110"/>
      <c r="K22" s="144"/>
      <c r="L22" s="68">
        <v>0.37499999999999994</v>
      </c>
      <c r="M22" s="70">
        <v>9.5</v>
      </c>
      <c r="N22" s="70">
        <f t="shared" si="4"/>
        <v>40.571428571428569</v>
      </c>
      <c r="O22" s="104">
        <f t="shared" si="6"/>
        <v>27.053177256326926</v>
      </c>
      <c r="P22" s="124">
        <f t="shared" si="5"/>
        <v>182.74311861824731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</row>
    <row r="23" spans="1:30" ht="15" customHeight="1" x14ac:dyDescent="0.25">
      <c r="A23" s="57"/>
      <c r="B23" s="106"/>
      <c r="C23" s="92"/>
      <c r="D23" s="92"/>
      <c r="E23" s="144"/>
      <c r="F23" s="144"/>
      <c r="G23" s="144"/>
      <c r="H23" s="144"/>
      <c r="I23" s="144"/>
      <c r="J23" s="107"/>
      <c r="K23" s="144"/>
      <c r="L23" s="71">
        <v>0.3125</v>
      </c>
      <c r="M23" s="73">
        <v>8</v>
      </c>
      <c r="N23" s="73">
        <f t="shared" si="4"/>
        <v>33.857142857142861</v>
      </c>
      <c r="O23" s="104">
        <f t="shared" si="6"/>
        <v>19.81732929791162</v>
      </c>
      <c r="P23" s="124">
        <f t="shared" si="5"/>
        <v>197.11636477797342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</row>
    <row r="24" spans="1:30" ht="15" customHeight="1" x14ac:dyDescent="0.25">
      <c r="A24" s="57"/>
      <c r="B24" s="108"/>
      <c r="C24" s="93"/>
      <c r="D24" s="93"/>
      <c r="E24" s="144"/>
      <c r="F24" s="144"/>
      <c r="G24" s="144"/>
      <c r="H24" s="90"/>
      <c r="I24" s="96"/>
      <c r="J24" s="107"/>
      <c r="K24" s="144"/>
      <c r="L24" s="71">
        <v>0.25</v>
      </c>
      <c r="M24" s="73">
        <f>L24*25.4</f>
        <v>6.35</v>
      </c>
      <c r="N24" s="73">
        <f t="shared" si="4"/>
        <v>26.471428571428572</v>
      </c>
      <c r="O24" s="104">
        <f t="shared" si="6"/>
        <v>14.527213712294479</v>
      </c>
      <c r="P24" s="124">
        <f t="shared" si="5"/>
        <v>142.66426860115965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</row>
    <row r="25" spans="1:30" ht="15" customHeight="1" x14ac:dyDescent="0.25">
      <c r="A25" s="57"/>
      <c r="B25" s="108"/>
      <c r="C25" s="93"/>
      <c r="D25" s="93"/>
      <c r="E25" s="144"/>
      <c r="F25" s="144"/>
      <c r="G25" s="144"/>
      <c r="H25" s="90"/>
      <c r="I25" s="97"/>
      <c r="J25" s="107"/>
      <c r="K25" s="144"/>
      <c r="L25" s="71" t="s">
        <v>45</v>
      </c>
      <c r="M25" s="73">
        <v>5.6</v>
      </c>
      <c r="N25" s="73">
        <f t="shared" si="4"/>
        <v>23.114285714285714</v>
      </c>
      <c r="O25" s="104">
        <f t="shared" si="6"/>
        <v>12.68287061815605</v>
      </c>
      <c r="P25" s="124">
        <f t="shared" si="5"/>
        <v>108.81442090776184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</row>
    <row r="26" spans="1:30" ht="15" customHeight="1" x14ac:dyDescent="0.25">
      <c r="A26" s="57"/>
      <c r="B26" s="201" t="s">
        <v>81</v>
      </c>
      <c r="C26" s="219" t="s">
        <v>116</v>
      </c>
      <c r="D26" s="219"/>
      <c r="E26" s="219"/>
      <c r="F26" s="219"/>
      <c r="G26" s="219"/>
      <c r="H26" s="219"/>
      <c r="I26" s="219"/>
      <c r="J26" s="220"/>
      <c r="K26" s="144"/>
      <c r="L26" s="68" t="s">
        <v>1</v>
      </c>
      <c r="M26" s="76">
        <v>4.75</v>
      </c>
      <c r="N26" s="70">
        <f t="shared" si="4"/>
        <v>19.30952380952381</v>
      </c>
      <c r="O26" s="104">
        <f t="shared" si="6"/>
        <v>10.87086029444683</v>
      </c>
      <c r="P26" s="124">
        <f t="shared" si="5"/>
        <v>71.211041920691372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</row>
    <row r="27" spans="1:30" ht="15" customHeight="1" x14ac:dyDescent="0.25">
      <c r="A27" s="57"/>
      <c r="B27" s="201"/>
      <c r="C27" s="219"/>
      <c r="D27" s="219"/>
      <c r="E27" s="219"/>
      <c r="F27" s="219"/>
      <c r="G27" s="219"/>
      <c r="H27" s="219"/>
      <c r="I27" s="219"/>
      <c r="J27" s="220"/>
      <c r="K27" s="144"/>
      <c r="L27" s="78" t="s">
        <v>39</v>
      </c>
      <c r="M27" s="79">
        <v>4</v>
      </c>
      <c r="N27" s="79">
        <f t="shared" si="4"/>
        <v>15.952380952380953</v>
      </c>
      <c r="O27" s="111">
        <f t="shared" si="6"/>
        <v>9.4521423943434524</v>
      </c>
      <c r="P27" s="124">
        <f t="shared" si="5"/>
        <v>42.253101311397437</v>
      </c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</row>
    <row r="28" spans="1:30" ht="15" customHeight="1" x14ac:dyDescent="0.25">
      <c r="A28" s="57"/>
      <c r="B28" s="196" t="s">
        <v>76</v>
      </c>
      <c r="C28" s="219" t="s">
        <v>117</v>
      </c>
      <c r="D28" s="219"/>
      <c r="E28" s="219"/>
      <c r="F28" s="219"/>
      <c r="G28" s="219"/>
      <c r="H28" s="219"/>
      <c r="I28" s="219"/>
      <c r="J28" s="220"/>
      <c r="K28" s="144"/>
      <c r="L28" s="78" t="s">
        <v>40</v>
      </c>
      <c r="M28" s="79">
        <v>3.35</v>
      </c>
      <c r="N28" s="79">
        <f t="shared" si="4"/>
        <v>13.042857142857144</v>
      </c>
      <c r="O28" s="111">
        <f t="shared" si="6"/>
        <v>8.3189930274513806</v>
      </c>
      <c r="P28" s="124">
        <f t="shared" si="5"/>
        <v>22.31489218081828</v>
      </c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</row>
    <row r="29" spans="1:30" ht="15" customHeight="1" x14ac:dyDescent="0.25">
      <c r="A29" s="57"/>
      <c r="B29" s="196"/>
      <c r="C29" s="219" t="s">
        <v>71</v>
      </c>
      <c r="D29" s="219"/>
      <c r="E29" s="219"/>
      <c r="F29" s="219"/>
      <c r="G29" s="219"/>
      <c r="H29" s="219"/>
      <c r="I29" s="219"/>
      <c r="J29" s="220"/>
      <c r="K29" s="144"/>
      <c r="L29" s="78" t="s">
        <v>41</v>
      </c>
      <c r="M29" s="79">
        <v>2.8</v>
      </c>
      <c r="N29" s="79">
        <f t="shared" si="4"/>
        <v>10.580952380952381</v>
      </c>
      <c r="O29" s="111">
        <f t="shared" si="6"/>
        <v>7.4055248579055641</v>
      </c>
      <c r="P29" s="124">
        <f t="shared" si="5"/>
        <v>10.083339954123241</v>
      </c>
      <c r="Q29" s="57"/>
    </row>
    <row r="30" spans="1:30" ht="15" customHeight="1" x14ac:dyDescent="0.25">
      <c r="A30" s="57"/>
      <c r="B30" s="196" t="s">
        <v>77</v>
      </c>
      <c r="C30" s="219" t="s">
        <v>118</v>
      </c>
      <c r="D30" s="219"/>
      <c r="E30" s="219"/>
      <c r="F30" s="219"/>
      <c r="G30" s="219"/>
      <c r="H30" s="219"/>
      <c r="I30" s="219"/>
      <c r="J30" s="220"/>
      <c r="K30" s="64"/>
      <c r="L30" s="78" t="s">
        <v>21</v>
      </c>
      <c r="M30" s="79">
        <v>2.36</v>
      </c>
      <c r="N30" s="79">
        <f t="shared" si="4"/>
        <v>8.6114285714285703</v>
      </c>
      <c r="O30" s="111">
        <f t="shared" si="6"/>
        <v>6.6889761578528608</v>
      </c>
      <c r="P30" s="124">
        <f t="shared" si="5"/>
        <v>3.695823282463071</v>
      </c>
      <c r="Q30" s="57"/>
    </row>
    <row r="31" spans="1:30" ht="15" customHeight="1" x14ac:dyDescent="0.25">
      <c r="A31" s="57"/>
      <c r="B31" s="196"/>
      <c r="C31" s="219" t="s">
        <v>71</v>
      </c>
      <c r="D31" s="219"/>
      <c r="E31" s="219"/>
      <c r="F31" s="219"/>
      <c r="G31" s="219"/>
      <c r="H31" s="219"/>
      <c r="I31" s="219"/>
      <c r="J31" s="220"/>
      <c r="K31" s="64"/>
      <c r="L31" s="68" t="s">
        <v>2</v>
      </c>
      <c r="M31" s="76">
        <v>2</v>
      </c>
      <c r="N31" s="76">
        <f t="shared" si="4"/>
        <v>7</v>
      </c>
      <c r="O31" s="111">
        <f t="shared" si="6"/>
        <v>6.1007548154962299</v>
      </c>
      <c r="P31" s="124">
        <f t="shared" si="5"/>
        <v>0.8086419018532196</v>
      </c>
      <c r="Q31" s="57"/>
    </row>
    <row r="32" spans="1:30" ht="15" customHeight="1" x14ac:dyDescent="0.25">
      <c r="A32" s="57"/>
      <c r="B32" s="196" t="s">
        <v>78</v>
      </c>
      <c r="C32" s="219" t="s">
        <v>119</v>
      </c>
      <c r="D32" s="219"/>
      <c r="E32" s="219"/>
      <c r="F32" s="219"/>
      <c r="G32" s="219"/>
      <c r="H32" s="219"/>
      <c r="I32" s="219"/>
      <c r="J32" s="220"/>
      <c r="K32" s="64"/>
      <c r="L32" s="78" t="s">
        <v>42</v>
      </c>
      <c r="M32" s="79">
        <v>1.7</v>
      </c>
      <c r="N32" s="79">
        <f t="shared" si="4"/>
        <v>5.9285714285714288</v>
      </c>
      <c r="O32" s="111">
        <f t="shared" si="6"/>
        <v>5.5999203610797537</v>
      </c>
      <c r="P32" s="124">
        <f t="shared" si="5"/>
        <v>0.10801152416341762</v>
      </c>
      <c r="Q32" s="57"/>
    </row>
    <row r="33" spans="1:17" ht="15" customHeight="1" x14ac:dyDescent="0.25">
      <c r="A33" s="57"/>
      <c r="B33" s="196"/>
      <c r="C33" s="219" t="s">
        <v>71</v>
      </c>
      <c r="D33" s="219"/>
      <c r="E33" s="219"/>
      <c r="F33" s="219"/>
      <c r="G33" s="219"/>
      <c r="H33" s="219"/>
      <c r="I33" s="219"/>
      <c r="J33" s="220"/>
      <c r="K33" s="64"/>
      <c r="L33" s="78" t="s">
        <v>43</v>
      </c>
      <c r="M33" s="79">
        <v>1.4</v>
      </c>
      <c r="N33" s="79">
        <f t="shared" si="4"/>
        <v>4.8571428571428577</v>
      </c>
      <c r="O33" s="111">
        <f t="shared" si="6"/>
        <v>5.0777733602774484</v>
      </c>
      <c r="P33" s="124">
        <f t="shared" si="5"/>
        <v>4.8677818913422662E-2</v>
      </c>
      <c r="Q33" s="57"/>
    </row>
    <row r="34" spans="1:17" ht="15" customHeight="1" x14ac:dyDescent="0.25">
      <c r="A34" s="57"/>
      <c r="B34" s="196" t="s">
        <v>79</v>
      </c>
      <c r="C34" s="219" t="s">
        <v>115</v>
      </c>
      <c r="D34" s="219"/>
      <c r="E34" s="219"/>
      <c r="F34" s="219"/>
      <c r="G34" s="219"/>
      <c r="H34" s="219"/>
      <c r="I34" s="219"/>
      <c r="J34" s="220"/>
      <c r="K34" s="64"/>
      <c r="L34" s="78" t="s">
        <v>22</v>
      </c>
      <c r="M34" s="79">
        <v>1.18</v>
      </c>
      <c r="N34" s="79">
        <f t="shared" si="4"/>
        <v>4.0714285714285712</v>
      </c>
      <c r="O34" s="111">
        <f t="shared" si="6"/>
        <v>4.6709567276241533</v>
      </c>
      <c r="P34" s="124">
        <f t="shared" si="5"/>
        <v>0.35943401007127429</v>
      </c>
      <c r="Q34" s="57"/>
    </row>
    <row r="35" spans="1:17" ht="15" customHeight="1" x14ac:dyDescent="0.25">
      <c r="A35" s="57"/>
      <c r="B35" s="196"/>
      <c r="C35" s="219"/>
      <c r="D35" s="219"/>
      <c r="E35" s="219"/>
      <c r="F35" s="219"/>
      <c r="G35" s="219"/>
      <c r="H35" s="219"/>
      <c r="I35" s="219"/>
      <c r="J35" s="220"/>
      <c r="K35" s="64"/>
      <c r="L35" s="78" t="s">
        <v>44</v>
      </c>
      <c r="M35" s="79">
        <v>1</v>
      </c>
      <c r="N35" s="79">
        <f t="shared" si="4"/>
        <v>3.4285714285714288</v>
      </c>
      <c r="O35" s="111">
        <f t="shared" si="6"/>
        <v>4.3136856631550025</v>
      </c>
      <c r="P35" s="124">
        <f t="shared" si="5"/>
        <v>0.78342720826246537</v>
      </c>
      <c r="Q35" s="57"/>
    </row>
    <row r="36" spans="1:17" ht="15" customHeight="1" x14ac:dyDescent="0.25">
      <c r="A36" s="57"/>
      <c r="B36" s="196" t="s">
        <v>80</v>
      </c>
      <c r="C36" s="219" t="s">
        <v>111</v>
      </c>
      <c r="D36" s="219"/>
      <c r="E36" s="219"/>
      <c r="F36" s="219"/>
      <c r="G36" s="219"/>
      <c r="H36" s="219"/>
      <c r="I36" s="219"/>
      <c r="J36" s="220"/>
      <c r="K36" s="64"/>
      <c r="L36" s="78" t="s">
        <v>23</v>
      </c>
      <c r="M36" s="80">
        <v>0.85</v>
      </c>
      <c r="N36" s="79">
        <f t="shared" si="4"/>
        <v>2.8928571428571428</v>
      </c>
      <c r="O36" s="111">
        <f t="shared" si="6"/>
        <v>3.9905066633280137</v>
      </c>
      <c r="P36" s="124">
        <f t="shared" si="5"/>
        <v>1.2048344697899329</v>
      </c>
      <c r="Q36" s="57"/>
    </row>
    <row r="37" spans="1:17" ht="15" customHeight="1" thickBot="1" x14ac:dyDescent="0.3">
      <c r="A37" s="57"/>
      <c r="B37" s="200"/>
      <c r="C37" s="221"/>
      <c r="D37" s="221"/>
      <c r="E37" s="221"/>
      <c r="F37" s="221"/>
      <c r="G37" s="221"/>
      <c r="H37" s="221"/>
      <c r="I37" s="221"/>
      <c r="J37" s="222"/>
      <c r="K37" s="64"/>
      <c r="L37" s="78" t="s">
        <v>46</v>
      </c>
      <c r="M37" s="80">
        <v>0.71</v>
      </c>
      <c r="N37" s="79">
        <f t="shared" si="4"/>
        <v>2.3928571428571428</v>
      </c>
      <c r="O37" s="111">
        <f t="shared" si="6"/>
        <v>3.6576311295836073</v>
      </c>
      <c r="P37" s="124">
        <f t="shared" si="5"/>
        <v>1.5996532374999548</v>
      </c>
      <c r="Q37" s="57"/>
    </row>
    <row r="38" spans="1:17" ht="15" customHeight="1" thickBot="1" x14ac:dyDescent="0.3">
      <c r="A38" s="57"/>
      <c r="B38" s="63"/>
      <c r="C38" s="63"/>
      <c r="D38" s="64"/>
      <c r="E38" s="64"/>
      <c r="F38" s="64"/>
      <c r="G38" s="64"/>
      <c r="H38" s="64"/>
      <c r="I38" s="64"/>
      <c r="J38" s="64"/>
      <c r="K38" s="64"/>
      <c r="L38" s="78" t="s">
        <v>47</v>
      </c>
      <c r="M38" s="80">
        <v>0.6</v>
      </c>
      <c r="N38" s="79">
        <f t="shared" si="4"/>
        <v>2</v>
      </c>
      <c r="O38" s="111">
        <f t="shared" si="6"/>
        <v>3.3646760473871899</v>
      </c>
      <c r="P38" s="124">
        <f t="shared" si="5"/>
        <v>1.8623407143123238</v>
      </c>
      <c r="Q38" s="57"/>
    </row>
    <row r="39" spans="1:17" ht="15" customHeight="1" x14ac:dyDescent="0.25">
      <c r="A39" s="57"/>
      <c r="B39" s="202" t="s">
        <v>104</v>
      </c>
      <c r="C39" s="203"/>
      <c r="D39" s="203"/>
      <c r="E39" s="203"/>
      <c r="F39" s="203"/>
      <c r="G39" s="203"/>
      <c r="H39" s="203"/>
      <c r="I39" s="203"/>
      <c r="J39" s="204"/>
      <c r="K39" s="64"/>
      <c r="L39" s="78" t="s">
        <v>48</v>
      </c>
      <c r="M39" s="80">
        <v>0.5</v>
      </c>
      <c r="N39" s="79">
        <f t="shared" si="4"/>
        <v>1.8095238095238093</v>
      </c>
      <c r="O39" s="111">
        <f t="shared" si="6"/>
        <v>3.0624003671028643</v>
      </c>
      <c r="P39" s="124">
        <f t="shared" si="5"/>
        <v>1.5696996685311433</v>
      </c>
      <c r="Q39" s="57"/>
    </row>
    <row r="40" spans="1:17" ht="15" customHeight="1" x14ac:dyDescent="0.25">
      <c r="A40" s="57"/>
      <c r="B40" s="205"/>
      <c r="C40" s="206"/>
      <c r="D40" s="206"/>
      <c r="E40" s="206"/>
      <c r="F40" s="206"/>
      <c r="G40" s="206"/>
      <c r="H40" s="206"/>
      <c r="I40" s="206"/>
      <c r="J40" s="207"/>
      <c r="K40" s="64"/>
      <c r="L40" s="68" t="s">
        <v>3</v>
      </c>
      <c r="M40" s="81">
        <v>0.42499999999999999</v>
      </c>
      <c r="N40" s="76">
        <f t="shared" si="4"/>
        <v>1.6666666666666665</v>
      </c>
      <c r="O40" s="111">
        <f t="shared" si="6"/>
        <v>2.8025235870001399</v>
      </c>
      <c r="P40" s="124">
        <f t="shared" si="5"/>
        <v>1.2901709434694426</v>
      </c>
      <c r="Q40" s="57"/>
    </row>
    <row r="41" spans="1:17" ht="15" customHeight="1" x14ac:dyDescent="0.25">
      <c r="A41" s="57"/>
      <c r="B41" s="205"/>
      <c r="C41" s="206"/>
      <c r="D41" s="206"/>
      <c r="E41" s="206"/>
      <c r="F41" s="206"/>
      <c r="G41" s="206"/>
      <c r="H41" s="206"/>
      <c r="I41" s="206"/>
      <c r="J41" s="207"/>
      <c r="K41" s="64"/>
      <c r="L41" s="78" t="s">
        <v>49</v>
      </c>
      <c r="M41" s="80">
        <v>0.35499999999999998</v>
      </c>
      <c r="N41" s="79">
        <f t="shared" si="4"/>
        <v>1.5333333333333332</v>
      </c>
      <c r="O41" s="111">
        <f t="shared" si="6"/>
        <v>2.52178548751042</v>
      </c>
      <c r="P41" s="124">
        <f t="shared" si="5"/>
        <v>0.97703766109732326</v>
      </c>
      <c r="Q41" s="57"/>
    </row>
    <row r="42" spans="1:17" ht="15" customHeight="1" thickBot="1" x14ac:dyDescent="0.3">
      <c r="A42" s="57"/>
      <c r="B42" s="208"/>
      <c r="C42" s="209"/>
      <c r="D42" s="209"/>
      <c r="E42" s="209"/>
      <c r="F42" s="209"/>
      <c r="G42" s="209"/>
      <c r="H42" s="209"/>
      <c r="I42" s="209"/>
      <c r="J42" s="210"/>
      <c r="K42" s="64"/>
      <c r="L42" s="78" t="s">
        <v>24</v>
      </c>
      <c r="M42" s="80">
        <v>0.3</v>
      </c>
      <c r="N42" s="79">
        <f t="shared" si="4"/>
        <v>1.4285714285714284</v>
      </c>
      <c r="O42" s="111">
        <f t="shared" si="6"/>
        <v>2.2630837021199617</v>
      </c>
      <c r="P42" s="124">
        <f t="shared" si="5"/>
        <v>0.69641073470314208</v>
      </c>
      <c r="Q42" s="57"/>
    </row>
    <row r="43" spans="1:17" ht="15" customHeight="1" x14ac:dyDescent="0.25">
      <c r="A43" s="57"/>
      <c r="B43" s="91"/>
      <c r="C43" s="91"/>
      <c r="D43" s="91"/>
      <c r="E43" s="91"/>
      <c r="F43" s="91"/>
      <c r="G43" s="91"/>
      <c r="H43" s="91"/>
      <c r="I43" s="91"/>
      <c r="J43" s="91"/>
      <c r="K43" s="64"/>
      <c r="L43" s="78" t="s">
        <v>25</v>
      </c>
      <c r="M43" s="80">
        <v>0.25</v>
      </c>
      <c r="N43" s="79">
        <f t="shared" si="4"/>
        <v>1.3333333333333333</v>
      </c>
      <c r="O43" s="111">
        <f t="shared" si="6"/>
        <v>1.9842783557166102</v>
      </c>
      <c r="P43" s="124">
        <f t="shared" si="5"/>
        <v>0.42372942216556486</v>
      </c>
      <c r="Q43" s="57"/>
    </row>
    <row r="44" spans="1:17" ht="15" customHeight="1" x14ac:dyDescent="0.25">
      <c r="A44" s="57"/>
      <c r="B44" s="91"/>
      <c r="C44" s="91"/>
      <c r="D44" s="91"/>
      <c r="E44" s="91"/>
      <c r="F44" s="91"/>
      <c r="G44" s="91"/>
      <c r="H44" s="91"/>
      <c r="I44" s="91"/>
      <c r="J44" s="91"/>
      <c r="K44" s="64"/>
      <c r="L44" s="78" t="s">
        <v>50</v>
      </c>
      <c r="M44" s="80">
        <v>0.21199999999999999</v>
      </c>
      <c r="N44" s="79">
        <f t="shared" si="4"/>
        <v>1.2609523809523808</v>
      </c>
      <c r="O44" s="111">
        <f t="shared" si="6"/>
        <v>1.7311530729336559</v>
      </c>
      <c r="P44" s="124">
        <f t="shared" si="5"/>
        <v>0.22108869073966997</v>
      </c>
      <c r="Q44" s="57"/>
    </row>
    <row r="45" spans="1:17" ht="15" customHeight="1" x14ac:dyDescent="0.25">
      <c r="A45" s="57"/>
      <c r="B45" s="63"/>
      <c r="C45" s="63"/>
      <c r="D45" s="64"/>
      <c r="E45" s="64"/>
      <c r="F45" s="64"/>
      <c r="G45" s="64"/>
      <c r="H45" s="64"/>
      <c r="I45" s="64"/>
      <c r="J45" s="64"/>
      <c r="K45" s="64"/>
      <c r="L45" s="78" t="s">
        <v>26</v>
      </c>
      <c r="M45" s="80">
        <v>0.18</v>
      </c>
      <c r="N45" s="79">
        <f t="shared" si="4"/>
        <v>1.2</v>
      </c>
      <c r="O45" s="111">
        <f t="shared" si="6"/>
        <v>1.4770709500831067</v>
      </c>
      <c r="P45" s="124">
        <f t="shared" si="5"/>
        <v>7.6768311379955448E-2</v>
      </c>
      <c r="Q45" s="57"/>
    </row>
    <row r="46" spans="1:17" ht="15" customHeight="1" x14ac:dyDescent="0.25">
      <c r="A46" s="57"/>
      <c r="B46" s="63"/>
      <c r="C46" s="63"/>
      <c r="D46" s="64"/>
      <c r="E46" s="64"/>
      <c r="F46" s="64"/>
      <c r="G46" s="64"/>
      <c r="H46" s="64"/>
      <c r="I46" s="64"/>
      <c r="J46" s="64"/>
      <c r="K46" s="64"/>
      <c r="L46" s="78" t="s">
        <v>27</v>
      </c>
      <c r="M46" s="80">
        <v>0.15</v>
      </c>
      <c r="N46" s="79">
        <f t="shared" si="4"/>
        <v>1.1428571428571428</v>
      </c>
      <c r="O46" s="111">
        <f t="shared" si="6"/>
        <v>1.1884765249717337</v>
      </c>
      <c r="P46" s="124">
        <f t="shared" si="5"/>
        <v>2.0811280245170592E-3</v>
      </c>
      <c r="Q46" s="57"/>
    </row>
    <row r="47" spans="1:17" ht="15" customHeight="1" x14ac:dyDescent="0.25">
      <c r="A47" s="57"/>
      <c r="B47" s="63"/>
      <c r="C47" s="63"/>
      <c r="D47" s="64"/>
      <c r="E47" s="64"/>
      <c r="F47" s="64"/>
      <c r="G47" s="64"/>
      <c r="H47" s="64"/>
      <c r="I47" s="64"/>
      <c r="J47" s="64"/>
      <c r="K47" s="64"/>
      <c r="L47" s="78" t="s">
        <v>51</v>
      </c>
      <c r="M47" s="80">
        <v>0.125</v>
      </c>
      <c r="N47" s="79">
        <f t="shared" si="4"/>
        <v>1.0952380952380953</v>
      </c>
      <c r="O47" s="111">
        <f t="shared" si="6"/>
        <v>0.8919005724049881</v>
      </c>
      <c r="P47" s="124">
        <f t="shared" si="5"/>
        <v>4.1346148191904408E-2</v>
      </c>
      <c r="Q47" s="57"/>
    </row>
    <row r="48" spans="1:17" ht="15" customHeight="1" x14ac:dyDescent="0.25">
      <c r="A48" s="57"/>
      <c r="B48" s="63"/>
      <c r="C48" s="63"/>
      <c r="D48" s="64"/>
      <c r="E48" s="64"/>
      <c r="F48" s="64"/>
      <c r="G48" s="64"/>
      <c r="H48" s="64"/>
      <c r="I48" s="64"/>
      <c r="J48" s="64"/>
      <c r="K48" s="64"/>
      <c r="L48" s="78" t="s">
        <v>52</v>
      </c>
      <c r="M48" s="80">
        <v>0.106</v>
      </c>
      <c r="N48" s="79">
        <f t="shared" si="4"/>
        <v>1.059047619047619</v>
      </c>
      <c r="O48" s="111">
        <f t="shared" si="6"/>
        <v>0.61500648790559043</v>
      </c>
      <c r="P48" s="124">
        <f t="shared" si="5"/>
        <v>0.19717252614589223</v>
      </c>
      <c r="Q48" s="57"/>
    </row>
    <row r="49" spans="1:17" ht="15" customHeight="1" x14ac:dyDescent="0.25">
      <c r="A49" s="57"/>
      <c r="B49" s="63"/>
      <c r="C49" s="63"/>
      <c r="D49" s="64"/>
      <c r="E49" s="64"/>
      <c r="F49" s="64"/>
      <c r="G49" s="64"/>
      <c r="H49" s="64"/>
      <c r="I49" s="64"/>
      <c r="J49" s="64"/>
      <c r="K49" s="64"/>
      <c r="L49" s="78" t="s">
        <v>53</v>
      </c>
      <c r="M49" s="80">
        <v>0.09</v>
      </c>
      <c r="N49" s="79">
        <f t="shared" si="4"/>
        <v>1.0285714285714285</v>
      </c>
      <c r="O49" s="111">
        <f t="shared" si="6"/>
        <v>0.33042491305058586</v>
      </c>
      <c r="P49" s="124">
        <f t="shared" si="5"/>
        <v>0.48740855713389414</v>
      </c>
      <c r="Q49" s="57"/>
    </row>
    <row r="50" spans="1:17" ht="15" customHeight="1" x14ac:dyDescent="0.25">
      <c r="A50" s="57"/>
      <c r="B50" s="63"/>
      <c r="C50" s="63"/>
      <c r="D50" s="64"/>
      <c r="E50" s="64"/>
      <c r="F50" s="64"/>
      <c r="G50" s="64"/>
      <c r="H50" s="64"/>
      <c r="I50" s="64"/>
      <c r="J50" s="64"/>
      <c r="K50" s="64"/>
      <c r="L50" s="68" t="s">
        <v>4</v>
      </c>
      <c r="M50" s="81">
        <v>7.4999999999999997E-2</v>
      </c>
      <c r="N50" s="76">
        <f t="shared" si="4"/>
        <v>1</v>
      </c>
      <c r="O50" s="111">
        <f t="shared" si="6"/>
        <v>0</v>
      </c>
      <c r="P50" s="124">
        <f t="shared" si="5"/>
        <v>1</v>
      </c>
      <c r="Q50" s="57"/>
    </row>
    <row r="51" spans="1:17" ht="15" customHeight="1" x14ac:dyDescent="0.25">
      <c r="A51" s="57"/>
      <c r="B51" s="63"/>
      <c r="C51" s="63"/>
      <c r="D51" s="64"/>
      <c r="E51" s="64"/>
      <c r="F51" s="64"/>
      <c r="G51" s="64"/>
      <c r="H51" s="64"/>
      <c r="I51" s="64"/>
      <c r="J51" s="64"/>
      <c r="K51" s="64"/>
      <c r="L51" s="78" t="s">
        <v>54</v>
      </c>
      <c r="M51" s="80">
        <v>6.3E-2</v>
      </c>
      <c r="N51" s="80">
        <f t="shared" si="4"/>
        <v>0.84000000000000008</v>
      </c>
      <c r="O51" s="112">
        <f t="shared" si="6"/>
        <v>-0.33098520312378493</v>
      </c>
      <c r="P51" s="124">
        <f t="shared" si="5"/>
        <v>1.3712063459348522</v>
      </c>
      <c r="Q51" s="57"/>
    </row>
    <row r="52" spans="1:17" ht="15" customHeight="1" x14ac:dyDescent="0.25">
      <c r="A52" s="57"/>
      <c r="B52" s="63"/>
      <c r="C52" s="63"/>
      <c r="D52" s="64"/>
      <c r="E52" s="64"/>
      <c r="F52" s="64"/>
      <c r="G52" s="64"/>
      <c r="H52" s="64"/>
      <c r="I52" s="64"/>
      <c r="J52" s="64"/>
      <c r="K52" s="64"/>
      <c r="L52" s="78" t="s">
        <v>28</v>
      </c>
      <c r="M52" s="80">
        <v>5.2999999999999999E-2</v>
      </c>
      <c r="N52" s="80">
        <f t="shared" si="4"/>
        <v>0.70666666666666667</v>
      </c>
      <c r="O52" s="112">
        <f t="shared" si="6"/>
        <v>-0.67540054796516014</v>
      </c>
      <c r="P52" s="124">
        <f t="shared" si="5"/>
        <v>1.9101097857601756</v>
      </c>
      <c r="Q52" s="57"/>
    </row>
    <row r="53" spans="1:17" ht="15" customHeight="1" x14ac:dyDescent="0.25">
      <c r="A53" s="57"/>
      <c r="B53" s="63"/>
      <c r="C53" s="63"/>
      <c r="D53" s="64"/>
      <c r="E53" s="64"/>
      <c r="F53" s="64"/>
      <c r="G53" s="64"/>
      <c r="H53" s="64"/>
      <c r="I53" s="64"/>
      <c r="J53" s="64"/>
      <c r="K53" s="64"/>
      <c r="L53" s="78" t="s">
        <v>55</v>
      </c>
      <c r="M53" s="80">
        <v>4.4999999999999998E-2</v>
      </c>
      <c r="N53" s="80">
        <f t="shared" si="4"/>
        <v>0.6</v>
      </c>
      <c r="O53" s="112">
        <f t="shared" si="6"/>
        <v>-1.0180327318156461</v>
      </c>
      <c r="P53" s="124">
        <f t="shared" si="5"/>
        <v>2.6180299212268028</v>
      </c>
      <c r="Q53" s="57"/>
    </row>
    <row r="54" spans="1:17" ht="15" customHeight="1" x14ac:dyDescent="0.25">
      <c r="A54" s="57"/>
      <c r="B54" s="63"/>
      <c r="C54" s="63"/>
      <c r="D54" s="64"/>
      <c r="E54" s="64"/>
      <c r="F54" s="64"/>
      <c r="G54" s="64"/>
      <c r="H54" s="64"/>
      <c r="I54" s="64"/>
      <c r="J54" s="64"/>
      <c r="K54" s="64"/>
      <c r="L54" s="78" t="s">
        <v>56</v>
      </c>
      <c r="M54" s="80">
        <v>3.7999999999999999E-2</v>
      </c>
      <c r="N54" s="80">
        <f t="shared" si="4"/>
        <v>0.50666666666666671</v>
      </c>
      <c r="O54" s="112">
        <f t="shared" si="6"/>
        <v>-1.3906680757203185</v>
      </c>
      <c r="P54" s="124">
        <f t="shared" si="5"/>
        <v>3.599879124668687</v>
      </c>
      <c r="Q54" s="57"/>
    </row>
    <row r="55" spans="1:17" ht="15" customHeight="1" x14ac:dyDescent="0.25">
      <c r="A55" s="57"/>
      <c r="B55" s="63"/>
      <c r="C55" s="63"/>
      <c r="D55" s="64"/>
      <c r="E55" s="64"/>
      <c r="F55" s="64"/>
      <c r="G55" s="64"/>
      <c r="H55" s="64"/>
      <c r="I55" s="64"/>
      <c r="J55" s="64"/>
      <c r="K55" s="64"/>
      <c r="L55" s="78" t="s">
        <v>57</v>
      </c>
      <c r="M55" s="80">
        <v>3.2000000000000001E-2</v>
      </c>
      <c r="N55" s="80">
        <f t="shared" si="4"/>
        <v>0.42666666666666669</v>
      </c>
      <c r="O55" s="112">
        <f t="shared" si="6"/>
        <v>-1.7905428964939116</v>
      </c>
      <c r="P55" s="124">
        <f t="shared" si="5"/>
        <v>4.9160182469707214</v>
      </c>
      <c r="Q55" s="57"/>
    </row>
    <row r="56" spans="1:17" ht="15" customHeight="1" x14ac:dyDescent="0.25">
      <c r="A56" s="57"/>
      <c r="B56" s="63"/>
      <c r="C56" s="63"/>
      <c r="D56" s="64"/>
      <c r="E56" s="64"/>
      <c r="F56" s="64"/>
      <c r="G56" s="64"/>
      <c r="H56" s="64"/>
      <c r="I56" s="64"/>
      <c r="J56" s="64"/>
      <c r="K56" s="64"/>
      <c r="L56" s="78" t="s">
        <v>58</v>
      </c>
      <c r="M56" s="80">
        <v>2.5000000000000001E-2</v>
      </c>
      <c r="N56" s="80">
        <f t="shared" si="4"/>
        <v>0.33333333333333337</v>
      </c>
      <c r="O56" s="112">
        <f t="shared" si="6"/>
        <v>-2.4059199257892478</v>
      </c>
      <c r="P56" s="124">
        <f t="shared" si="5"/>
        <v>7.5035084176136833</v>
      </c>
      <c r="Q56" s="57"/>
    </row>
    <row r="57" spans="1:17" ht="15" customHeight="1" x14ac:dyDescent="0.25">
      <c r="A57" s="57"/>
      <c r="B57" s="63"/>
      <c r="C57" s="63"/>
      <c r="D57" s="64"/>
      <c r="E57" s="64"/>
      <c r="F57" s="64"/>
      <c r="G57" s="64"/>
      <c r="H57" s="64"/>
      <c r="I57" s="64"/>
      <c r="J57" s="64"/>
      <c r="K57" s="64"/>
      <c r="L57" s="78" t="s">
        <v>59</v>
      </c>
      <c r="M57" s="80">
        <v>0.02</v>
      </c>
      <c r="N57" s="80">
        <f t="shared" si="4"/>
        <v>0.26666666666666666</v>
      </c>
      <c r="O57" s="112">
        <f t="shared" si="6"/>
        <v>-3.0079507249851063</v>
      </c>
      <c r="P57" s="124">
        <f>IF(ISNUMBER((N57-O57)^2),(N57-O57)^2,0)</f>
        <v>10.72311906170826</v>
      </c>
      <c r="Q57" s="57"/>
    </row>
  </sheetData>
  <sheetProtection algorithmName="SHA-512" hashValue="S2ZlOOcMnaRrGIS/3pWGRaDwVrSY7gJLVzsaTtEBka9ZxCFAQ7Q3mnIcjsSl/iVSBqkibKPuuPIPlAZT4uARyA==" saltValue="MB0eIvUm9uSAXAAas+V3DQ==" spinCount="100000" sheet="1" objects="1" scenarios="1" selectLockedCells="1"/>
  <mergeCells count="32">
    <mergeCell ref="B34:B35"/>
    <mergeCell ref="B36:B37"/>
    <mergeCell ref="B26:B27"/>
    <mergeCell ref="B39:J42"/>
    <mergeCell ref="H6:I6"/>
    <mergeCell ref="H7:I7"/>
    <mergeCell ref="B21:J21"/>
    <mergeCell ref="B17:J20"/>
    <mergeCell ref="C26:J27"/>
    <mergeCell ref="C28:J29"/>
    <mergeCell ref="C30:J31"/>
    <mergeCell ref="C32:J33"/>
    <mergeCell ref="C34:J35"/>
    <mergeCell ref="C36:J37"/>
    <mergeCell ref="H14:I14"/>
    <mergeCell ref="H15:I15"/>
    <mergeCell ref="B28:B29"/>
    <mergeCell ref="B30:B31"/>
    <mergeCell ref="B32:B33"/>
    <mergeCell ref="B2:E2"/>
    <mergeCell ref="E3:E4"/>
    <mergeCell ref="O3:O4"/>
    <mergeCell ref="L2:O2"/>
    <mergeCell ref="H8:I8"/>
    <mergeCell ref="B3:C3"/>
    <mergeCell ref="D3:D4"/>
    <mergeCell ref="L3:M3"/>
    <mergeCell ref="N3:N4"/>
    <mergeCell ref="H2:J2"/>
    <mergeCell ref="H3:I3"/>
    <mergeCell ref="H4:I4"/>
    <mergeCell ref="H5:I5"/>
  </mergeCells>
  <conditionalFormatting sqref="P5:P57">
    <cfRule type="cellIs" dxfId="1" priority="1" operator="lessThan">
      <formula>1</formula>
    </cfRule>
  </conditionalFormatting>
  <printOptions horizontalCentered="1" verticalCentered="1"/>
  <pageMargins left="0" right="0" top="0" bottom="0" header="0" footer="0"/>
  <pageSetup paperSize="9" scale="90" fitToWidth="2" orientation="portrait" r:id="rId1"/>
  <colBreaks count="1" manualBreakCount="1">
    <brk id="17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D57"/>
  <sheetViews>
    <sheetView view="pageBreakPreview" zoomScale="70" zoomScaleNormal="100" zoomScaleSheetLayoutView="70" workbookViewId="0">
      <selection activeCell="V44" sqref="V44"/>
    </sheetView>
  </sheetViews>
  <sheetFormatPr defaultRowHeight="15" x14ac:dyDescent="0.25"/>
  <cols>
    <col min="1" max="1" width="1.7109375" style="136" customWidth="1"/>
    <col min="2" max="3" width="7.7109375" style="137" customWidth="1"/>
    <col min="4" max="4" width="7.7109375" style="138" customWidth="1"/>
    <col min="5" max="5" width="10.7109375" style="138" customWidth="1"/>
    <col min="6" max="6" width="7.7109375" style="138" customWidth="1"/>
    <col min="7" max="7" width="1.7109375" style="138" customWidth="1"/>
    <col min="8" max="9" width="2.7109375" style="138" customWidth="1"/>
    <col min="10" max="10" width="8.7109375" style="138" customWidth="1"/>
    <col min="11" max="11" width="1.7109375" style="138" customWidth="1"/>
    <col min="12" max="14" width="7.7109375" style="137" customWidth="1"/>
    <col min="15" max="16" width="10.7109375" style="137" customWidth="1"/>
    <col min="17" max="17" width="1.5703125" style="136" customWidth="1"/>
    <col min="18" max="16384" width="9.140625" style="136"/>
  </cols>
  <sheetData>
    <row r="1" spans="1:30" ht="6" customHeight="1" x14ac:dyDescent="0.25">
      <c r="A1" s="57"/>
      <c r="B1" s="63"/>
      <c r="C1" s="63"/>
      <c r="D1" s="64"/>
      <c r="E1" s="64"/>
      <c r="F1" s="64"/>
      <c r="G1" s="64"/>
      <c r="H1" s="64"/>
      <c r="I1" s="64"/>
      <c r="J1" s="83"/>
      <c r="K1" s="86"/>
      <c r="L1" s="63"/>
      <c r="M1" s="63"/>
      <c r="N1" s="63"/>
      <c r="O1" s="63"/>
      <c r="P1" s="63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</row>
    <row r="2" spans="1:30" ht="26.25" customHeight="1" x14ac:dyDescent="0.25">
      <c r="A2" s="57"/>
      <c r="B2" s="225" t="s">
        <v>29</v>
      </c>
      <c r="C2" s="226"/>
      <c r="D2" s="226"/>
      <c r="E2" s="227"/>
      <c r="F2" s="132" t="s">
        <v>109</v>
      </c>
      <c r="G2" s="88"/>
      <c r="H2" s="194" t="s">
        <v>67</v>
      </c>
      <c r="I2" s="194"/>
      <c r="J2" s="194"/>
      <c r="K2" s="86"/>
      <c r="L2" s="192" t="s">
        <v>65</v>
      </c>
      <c r="M2" s="192"/>
      <c r="N2" s="192"/>
      <c r="O2" s="192"/>
      <c r="P2" s="132" t="s">
        <v>110</v>
      </c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s="139" customFormat="1" ht="15" customHeight="1" x14ac:dyDescent="0.25">
      <c r="A3" s="66"/>
      <c r="B3" s="171" t="s">
        <v>18</v>
      </c>
      <c r="C3" s="171"/>
      <c r="D3" s="172" t="s">
        <v>70</v>
      </c>
      <c r="E3" s="190" t="s">
        <v>94</v>
      </c>
      <c r="F3" s="123">
        <f>SUM(F5:F15)/11</f>
        <v>0.1252470865511264</v>
      </c>
      <c r="G3" s="89"/>
      <c r="H3" s="223" t="s">
        <v>92</v>
      </c>
      <c r="I3" s="224"/>
      <c r="J3" s="135">
        <v>0.64073944724713472</v>
      </c>
      <c r="K3" s="86"/>
      <c r="L3" s="173" t="s">
        <v>18</v>
      </c>
      <c r="M3" s="173"/>
      <c r="N3" s="174" t="s">
        <v>69</v>
      </c>
      <c r="O3" s="190" t="s">
        <v>94</v>
      </c>
      <c r="P3" s="123">
        <f>SUMPRODUCT(P5:P56)/53</f>
        <v>61.969056514306388</v>
      </c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</row>
    <row r="4" spans="1:30" s="139" customFormat="1" ht="15" customHeight="1" x14ac:dyDescent="0.25">
      <c r="A4" s="66"/>
      <c r="B4" s="140" t="s">
        <v>19</v>
      </c>
      <c r="C4" s="140" t="s">
        <v>0</v>
      </c>
      <c r="D4" s="172"/>
      <c r="E4" s="191"/>
      <c r="F4" s="132" t="s">
        <v>68</v>
      </c>
      <c r="G4" s="89"/>
      <c r="H4" s="223" t="s">
        <v>84</v>
      </c>
      <c r="I4" s="224"/>
      <c r="J4" s="131">
        <v>17.100327211656424</v>
      </c>
      <c r="K4" s="87"/>
      <c r="L4" s="141" t="s">
        <v>19</v>
      </c>
      <c r="M4" s="141" t="s">
        <v>0</v>
      </c>
      <c r="N4" s="174"/>
      <c r="O4" s="191"/>
      <c r="P4" s="132" t="s">
        <v>68</v>
      </c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</row>
    <row r="5" spans="1:30" ht="15" customHeight="1" x14ac:dyDescent="0.25">
      <c r="A5" s="57"/>
      <c r="B5" s="149">
        <f>IFERROR(INDEX($L$5:$N$57,MATCH(C5,$M$5:$M$57,),1,1),"")</f>
        <v>5</v>
      </c>
      <c r="C5" s="154">
        <v>125</v>
      </c>
      <c r="D5" s="143">
        <v>100</v>
      </c>
      <c r="E5" s="100">
        <f>($J$3*(1/LN(EXP(1)+($J$4/C5)^$J$5)^$J$6)+(1-$J$3)*(1/LN(EXP(1)+($J$7/C5)^$J$8)^$J$9))*(1-(LN(1+($J$10/C5))/LN(1+($J$10/$J$11)))^7)*100</f>
        <v>99.99999991553608</v>
      </c>
      <c r="F5" s="124">
        <f>(D5-E5)^2</f>
        <v>7.1341538328449309E-15</v>
      </c>
      <c r="G5" s="74"/>
      <c r="H5" s="223" t="s">
        <v>86</v>
      </c>
      <c r="I5" s="224"/>
      <c r="J5" s="131">
        <v>9.8173715291257846</v>
      </c>
      <c r="K5" s="87"/>
      <c r="L5" s="98">
        <v>5</v>
      </c>
      <c r="M5" s="99">
        <v>125</v>
      </c>
      <c r="N5" s="99">
        <f>INDEX($D$5:$D$16,MATCH(M5,$C$5:$C$15,-1)+1)+(M5-INDEX($C$5:$C$16,MATCH(M5,$C$5:$C$15,-1)+1))*((INDEX($D$5:$D$16,MATCH(M5,$C$5:$C$15,-1))-INDEX($D$5:$D$16,MATCH(M5,$C$5:$C$15,-1)+1))/(INDEX($C$5:$C$16,MATCH(M5,$C$5:$C$15,-1))-INDEX($C$5:$C$16,MATCH(M5,$C$5:$C$15,-1)+1)))</f>
        <v>100</v>
      </c>
      <c r="O5" s="100">
        <f>($J$3*(1/LN(EXP(1)+($J$4/M5)^$J$5)^$J$6)+(1-$J$3)*(1/LN(EXP(1)+($J$7/M5)^$J$8)^$J$9))*(1-(LN(1+($J$10/M5))/LN(1+($J$10/$J$11)))^7)*100</f>
        <v>99.99999991553608</v>
      </c>
      <c r="P5" s="124">
        <f>IF(ISNUMBER((N5-O5)^2),(N5-O5)^2,0)</f>
        <v>7.1341538328449309E-15</v>
      </c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ht="15" customHeight="1" x14ac:dyDescent="0.25">
      <c r="A6" s="57"/>
      <c r="B6" s="149">
        <f t="shared" ref="B6:B15" si="0">IFERROR(INDEX($L$5:$N$57,MATCH(C6,$M$5:$M$57,),1,1),"")</f>
        <v>2.9999999999999996</v>
      </c>
      <c r="C6" s="154">
        <v>75</v>
      </c>
      <c r="D6" s="143">
        <v>100</v>
      </c>
      <c r="E6" s="100">
        <f t="shared" ref="E6:E15" si="1">($J$3*(1/LN(EXP(1)+($J$4/C6)^$J$5)^$J$6)+(1-$J$3)*(1/LN(EXP(1)+($J$7/C6)^$J$8)^$J$9))*(1-(LN(1+($J$10/C6))/LN(1+($J$10/$J$11)))^7)*100</f>
        <v>99.999987275443345</v>
      </c>
      <c r="F6" s="124">
        <f t="shared" ref="F6:F15" si="2">(D6-E6)^2</f>
        <v>1.6191434205549606E-10</v>
      </c>
      <c r="G6" s="74"/>
      <c r="H6" s="223" t="s">
        <v>87</v>
      </c>
      <c r="I6" s="224"/>
      <c r="J6" s="131">
        <v>1.0853413925814583</v>
      </c>
      <c r="K6" s="87"/>
      <c r="L6" s="101">
        <v>4.24</v>
      </c>
      <c r="M6" s="102">
        <v>106</v>
      </c>
      <c r="N6" s="102">
        <f t="shared" ref="N6:N57" si="3">INDEX($D$5:$D$16,MATCH(M6,$C$5:$C$15,-1)+1)+(M6-INDEX($C$5:$C$16,MATCH(M6,$C$5:$C$15,-1)+1))*((INDEX($D$5:$D$16,MATCH(M6,$C$5:$C$15,-1))-INDEX($D$5:$D$16,MATCH(M6,$C$5:$C$15,-1)+1))/(INDEX($C$5:$C$16,MATCH(M6,$C$5:$C$15,-1))-INDEX($C$5:$C$16,MATCH(M6,$C$5:$C$15,-1)+1)))</f>
        <v>100</v>
      </c>
      <c r="O6" s="100">
        <f t="shared" ref="O6:O57" si="4">($J$3*(1/LN(EXP(1)+($J$4/M6)^$J$5)^$J$6)+(1-$J$3)*(1/LN(EXP(1)+($J$7/M6)^$J$8)^$J$9))*(1-(LN(1+($J$10/M6))/LN(1+($J$10/$J$11)))^7)*100</f>
        <v>99.999999573778155</v>
      </c>
      <c r="P6" s="124">
        <f t="shared" ref="P6:P56" si="5">IF(ISNUMBER((N6-O6)^2),(N6-O6)^2,0)</f>
        <v>1.8166506147335329E-13</v>
      </c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ht="15" customHeight="1" x14ac:dyDescent="0.25">
      <c r="A7" s="57"/>
      <c r="B7" s="149">
        <f t="shared" si="0"/>
        <v>3.5</v>
      </c>
      <c r="C7" s="154">
        <v>90</v>
      </c>
      <c r="D7" s="143">
        <v>100</v>
      </c>
      <c r="E7" s="100">
        <f t="shared" si="1"/>
        <v>99.999997875332113</v>
      </c>
      <c r="F7" s="124">
        <f t="shared" si="2"/>
        <v>4.5142136298799061E-12</v>
      </c>
      <c r="G7" s="74"/>
      <c r="H7" s="223" t="s">
        <v>89</v>
      </c>
      <c r="I7" s="224"/>
      <c r="J7" s="131">
        <v>2.6411015693265201</v>
      </c>
      <c r="K7" s="87"/>
      <c r="L7" s="101">
        <v>4</v>
      </c>
      <c r="M7" s="102">
        <v>100</v>
      </c>
      <c r="N7" s="102">
        <f t="shared" si="3"/>
        <v>100</v>
      </c>
      <c r="O7" s="100">
        <f t="shared" si="4"/>
        <v>99.999999244781208</v>
      </c>
      <c r="P7" s="124">
        <f t="shared" si="5"/>
        <v>5.7035542438209547E-13</v>
      </c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ht="15" customHeight="1" x14ac:dyDescent="0.25">
      <c r="A8" s="57"/>
      <c r="B8" s="149">
        <f t="shared" si="0"/>
        <v>2</v>
      </c>
      <c r="C8" s="154">
        <v>50</v>
      </c>
      <c r="D8" s="143">
        <v>100</v>
      </c>
      <c r="E8" s="100">
        <f t="shared" si="1"/>
        <v>99.999318619770222</v>
      </c>
      <c r="F8" s="124">
        <f t="shared" si="2"/>
        <v>4.642790175329786E-7</v>
      </c>
      <c r="G8" s="74"/>
      <c r="H8" s="223" t="s">
        <v>90</v>
      </c>
      <c r="I8" s="224"/>
      <c r="J8" s="131">
        <v>17.082914422768333</v>
      </c>
      <c r="K8" s="87"/>
      <c r="L8" s="101">
        <v>3.5</v>
      </c>
      <c r="M8" s="102">
        <v>90</v>
      </c>
      <c r="N8" s="102">
        <f t="shared" si="3"/>
        <v>100</v>
      </c>
      <c r="O8" s="100">
        <f t="shared" si="4"/>
        <v>99.999997875332113</v>
      </c>
      <c r="P8" s="124">
        <f t="shared" si="5"/>
        <v>4.5142136298799061E-12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ht="15" customHeight="1" x14ac:dyDescent="0.25">
      <c r="A9" s="57"/>
      <c r="B9" s="149">
        <f t="shared" si="0"/>
        <v>1.75</v>
      </c>
      <c r="C9" s="154">
        <v>45</v>
      </c>
      <c r="D9" s="143">
        <v>100</v>
      </c>
      <c r="E9" s="100">
        <f t="shared" si="1"/>
        <v>99.998083115658119</v>
      </c>
      <c r="F9" s="124">
        <f t="shared" si="2"/>
        <v>3.6744455801488865E-6</v>
      </c>
      <c r="G9" s="74"/>
      <c r="H9" s="223" t="s">
        <v>91</v>
      </c>
      <c r="I9" s="224"/>
      <c r="J9" s="131">
        <v>1.3091966759266296</v>
      </c>
      <c r="K9" s="87"/>
      <c r="L9" s="98">
        <v>2.9999999999999996</v>
      </c>
      <c r="M9" s="99">
        <v>75</v>
      </c>
      <c r="N9" s="99">
        <f>INDEX($D$5:$D$16,MATCH(M9,$C$5:$C$15,-1)+1)+(M9-INDEX($C$5:$C$16,MATCH(M9,$C$5:$C$15,-1)+1))*((INDEX($D$5:$D$16,MATCH(M9,$C$5:$C$15,-1))-INDEX($D$5:$D$16,MATCH(M9,$C$5:$C$15,-1)+1))/(INDEX($C$5:$C$16,MATCH(M9,$C$5:$C$15,-1))-INDEX($C$5:$C$16,MATCH(M9,$C$5:$C$15,-1)+1)))</f>
        <v>100</v>
      </c>
      <c r="O9" s="100">
        <f t="shared" si="4"/>
        <v>99.999987275443345</v>
      </c>
      <c r="P9" s="124">
        <f t="shared" si="5"/>
        <v>1.6191434205549606E-10</v>
      </c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</row>
    <row r="10" spans="1:30" ht="15" customHeight="1" x14ac:dyDescent="0.25">
      <c r="A10" s="57"/>
      <c r="B10" s="149">
        <f t="shared" si="0"/>
        <v>1.4999999999999998</v>
      </c>
      <c r="C10" s="154">
        <v>37.5</v>
      </c>
      <c r="D10" s="143">
        <v>100</v>
      </c>
      <c r="E10" s="100">
        <f t="shared" si="1"/>
        <v>99.988522283395</v>
      </c>
      <c r="F10" s="124">
        <f t="shared" si="2"/>
        <v>1.3173797846470213E-4</v>
      </c>
      <c r="G10" s="74"/>
      <c r="H10" s="223" t="s">
        <v>88</v>
      </c>
      <c r="I10" s="224"/>
      <c r="J10" s="131">
        <v>1.8297261540454786</v>
      </c>
      <c r="K10" s="87"/>
      <c r="L10" s="101">
        <v>2.5</v>
      </c>
      <c r="M10" s="102">
        <v>63</v>
      </c>
      <c r="N10" s="103">
        <f t="shared" si="3"/>
        <v>100</v>
      </c>
      <c r="O10" s="104">
        <f t="shared" si="4"/>
        <v>99.999929527369375</v>
      </c>
      <c r="P10" s="124">
        <f t="shared" si="5"/>
        <v>4.9663916672524849E-9</v>
      </c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</row>
    <row r="11" spans="1:30" ht="15" customHeight="1" x14ac:dyDescent="0.25">
      <c r="A11" s="57"/>
      <c r="B11" s="149">
        <f t="shared" si="0"/>
        <v>1</v>
      </c>
      <c r="C11" s="154">
        <v>25</v>
      </c>
      <c r="D11" s="143">
        <v>100</v>
      </c>
      <c r="E11" s="100">
        <f t="shared" si="1"/>
        <v>99.393488720088001</v>
      </c>
      <c r="F11" s="124">
        <f t="shared" si="2"/>
        <v>0.36785593266049088</v>
      </c>
      <c r="G11" s="74"/>
      <c r="H11" s="223" t="s">
        <v>75</v>
      </c>
      <c r="I11" s="224"/>
      <c r="J11" s="131">
        <v>7.4999999999999997E-2</v>
      </c>
      <c r="K11" s="87"/>
      <c r="L11" s="101">
        <v>2.12</v>
      </c>
      <c r="M11" s="102">
        <v>53</v>
      </c>
      <c r="N11" s="103">
        <f t="shared" si="3"/>
        <v>100</v>
      </c>
      <c r="O11" s="104">
        <f t="shared" si="4"/>
        <v>99.9996154477939</v>
      </c>
      <c r="P11" s="124">
        <f t="shared" si="5"/>
        <v>1.4788039921629795E-7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</row>
    <row r="12" spans="1:30" ht="15" customHeight="1" thickBot="1" x14ac:dyDescent="0.3">
      <c r="A12" s="57"/>
      <c r="B12" s="149">
        <f t="shared" si="0"/>
        <v>0.5</v>
      </c>
      <c r="C12" s="154">
        <v>12.5</v>
      </c>
      <c r="D12" s="143">
        <v>54</v>
      </c>
      <c r="E12" s="100">
        <f t="shared" si="1"/>
        <v>54.090459830305115</v>
      </c>
      <c r="F12" s="124">
        <f t="shared" si="2"/>
        <v>8.1829808988301139E-3</v>
      </c>
      <c r="G12" s="74"/>
      <c r="H12" s="64"/>
      <c r="I12" s="64"/>
      <c r="J12" s="64"/>
      <c r="K12" s="87"/>
      <c r="L12" s="98">
        <v>2</v>
      </c>
      <c r="M12" s="99">
        <v>50</v>
      </c>
      <c r="N12" s="105">
        <f>INDEX($D$5:$D$16,MATCH(M12,$C$5:$C$15,-1)+1)+(M12-INDEX($C$5:$C$16,MATCH(M12,$C$5:$C$15,-1)+1))*((INDEX($D$5:$D$16,MATCH(M12,$C$5:$C$15,-1))-INDEX($D$5:$D$16,MATCH(M12,$C$5:$C$15,-1)+1))/(INDEX($C$5:$C$16,MATCH(M12,$C$5:$C$15,-1))-INDEX($C$5:$C$16,MATCH(M12,$C$5:$C$15,-1)+1)))</f>
        <v>100</v>
      </c>
      <c r="O12" s="104">
        <f t="shared" si="4"/>
        <v>99.999318619770222</v>
      </c>
      <c r="P12" s="124">
        <f t="shared" si="5"/>
        <v>4.642790175329786E-7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</row>
    <row r="13" spans="1:30" ht="15" customHeight="1" x14ac:dyDescent="0.25">
      <c r="A13" s="57"/>
      <c r="B13" s="149" t="str">
        <f t="shared" si="0"/>
        <v>No.10</v>
      </c>
      <c r="C13" s="154">
        <v>2</v>
      </c>
      <c r="D13" s="143">
        <v>7</v>
      </c>
      <c r="E13" s="100">
        <f t="shared" si="1"/>
        <v>6.9868979106220435</v>
      </c>
      <c r="F13" s="124">
        <f t="shared" si="2"/>
        <v>1.7166474606796156E-4</v>
      </c>
      <c r="G13" s="74"/>
      <c r="H13" s="114" t="s">
        <v>61</v>
      </c>
      <c r="I13" s="115">
        <v>60</v>
      </c>
      <c r="J13" s="119">
        <f>INDEX($M$5:$M$57,MATCH(I13,$O$5:$O$57,-1)+1)+(INDEX($M$5:$M$57,MATCH(I13,$O$5:$O$57,-1))-INDEX($M$5:$M$57,MATCH(I13,$O$5:$O$57,-1)+1))*((I13-INDEX($O$5:$O$57,MATCH(I13,$O$5:$O$57,-1)+1))/(INDEX($O$5:$O$57,MATCH(I13,$O$5:$O$57,-1))-INDEX($O$5:$O$57,MATCH(I13,$O$5:$O$57,-1)+1)))</f>
        <v>13.436324017558363</v>
      </c>
      <c r="K13" s="87"/>
      <c r="L13" s="101">
        <v>1.75</v>
      </c>
      <c r="M13" s="102">
        <v>45</v>
      </c>
      <c r="N13" s="103">
        <f t="shared" si="3"/>
        <v>100</v>
      </c>
      <c r="O13" s="104">
        <f t="shared" si="4"/>
        <v>99.998083115658119</v>
      </c>
      <c r="P13" s="124">
        <f t="shared" si="5"/>
        <v>3.6744455801488865E-6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</row>
    <row r="14" spans="1:30" ht="15" customHeight="1" x14ac:dyDescent="0.25">
      <c r="A14" s="57"/>
      <c r="B14" s="149" t="str">
        <f t="shared" si="0"/>
        <v>No.30</v>
      </c>
      <c r="C14" s="154">
        <v>0.6</v>
      </c>
      <c r="D14" s="143">
        <v>2</v>
      </c>
      <c r="E14" s="100">
        <f t="shared" si="1"/>
        <v>1.9629662736481563</v>
      </c>
      <c r="F14" s="124">
        <f t="shared" si="2"/>
        <v>1.3714968875032391E-3</v>
      </c>
      <c r="G14" s="74"/>
      <c r="H14" s="116" t="s">
        <v>61</v>
      </c>
      <c r="I14" s="117">
        <v>50</v>
      </c>
      <c r="J14" s="120">
        <f t="shared" ref="J14:J17" si="6">INDEX($M$5:$M$57,MATCH(I14,$O$5:$O$57,-1)+1)+(INDEX($M$5:$M$57,MATCH(I14,$O$5:$O$57,-1))-INDEX($M$5:$M$57,MATCH(I14,$O$5:$O$57,-1)+1))*((I14-INDEX($O$5:$O$57,MATCH(I14,$O$5:$O$57,-1)+1))/(INDEX($O$5:$O$57,MATCH(I14,$O$5:$O$57,-1))-INDEX($O$5:$O$57,MATCH(I14,$O$5:$O$57,-1)+1)))</f>
        <v>11.357509548817458</v>
      </c>
      <c r="K14" s="87"/>
      <c r="L14" s="98">
        <v>1.4999999999999998</v>
      </c>
      <c r="M14" s="105">
        <v>37.5</v>
      </c>
      <c r="N14" s="105">
        <f t="shared" si="3"/>
        <v>100</v>
      </c>
      <c r="O14" s="104">
        <f t="shared" si="4"/>
        <v>99.988522283395</v>
      </c>
      <c r="P14" s="124">
        <f t="shared" si="5"/>
        <v>1.3173797846470213E-4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</row>
    <row r="15" spans="1:30" ht="15" customHeight="1" x14ac:dyDescent="0.25">
      <c r="A15" s="57"/>
      <c r="B15" s="149" t="str">
        <f t="shared" si="0"/>
        <v>No.200</v>
      </c>
      <c r="C15" s="154">
        <v>7.4999999999999997E-2</v>
      </c>
      <c r="D15" s="143">
        <v>1</v>
      </c>
      <c r="E15" s="100">
        <f t="shared" si="1"/>
        <v>0</v>
      </c>
      <c r="F15" s="124">
        <f t="shared" si="2"/>
        <v>1</v>
      </c>
      <c r="G15" s="74"/>
      <c r="H15" s="116" t="s">
        <v>61</v>
      </c>
      <c r="I15" s="118">
        <v>30</v>
      </c>
      <c r="J15" s="120">
        <f t="shared" si="6"/>
        <v>2.7163589116468234</v>
      </c>
      <c r="K15" s="87"/>
      <c r="L15" s="101">
        <v>1.25</v>
      </c>
      <c r="M15" s="103">
        <v>31.5</v>
      </c>
      <c r="N15" s="103">
        <f t="shared" si="3"/>
        <v>100</v>
      </c>
      <c r="O15" s="104">
        <f t="shared" si="4"/>
        <v>99.93650604828953</v>
      </c>
      <c r="P15" s="124">
        <f t="shared" si="5"/>
        <v>4.0314819038114692E-3</v>
      </c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</row>
    <row r="16" spans="1:30" ht="15" customHeight="1" thickBot="1" x14ac:dyDescent="0.3">
      <c r="A16" s="57"/>
      <c r="B16" s="94"/>
      <c r="C16" s="94"/>
      <c r="D16" s="95"/>
      <c r="E16" s="142"/>
      <c r="F16" s="142"/>
      <c r="G16" s="142"/>
      <c r="H16" s="116" t="s">
        <v>61</v>
      </c>
      <c r="I16" s="118">
        <v>20</v>
      </c>
      <c r="J16" s="120">
        <f t="shared" si="6"/>
        <v>2.4798465085994983</v>
      </c>
      <c r="K16" s="87"/>
      <c r="L16" s="68">
        <v>1</v>
      </c>
      <c r="M16" s="69">
        <v>25</v>
      </c>
      <c r="N16" s="70">
        <f t="shared" si="3"/>
        <v>100</v>
      </c>
      <c r="O16" s="104">
        <f t="shared" si="4"/>
        <v>99.393488720088001</v>
      </c>
      <c r="P16" s="124">
        <f t="shared" si="5"/>
        <v>0.36785593266049088</v>
      </c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</row>
    <row r="17" spans="1:30" ht="15" customHeight="1" x14ac:dyDescent="0.25">
      <c r="A17" s="57"/>
      <c r="B17" s="202"/>
      <c r="C17" s="203"/>
      <c r="D17" s="203"/>
      <c r="E17" s="203"/>
      <c r="F17" s="204"/>
      <c r="G17" s="64"/>
      <c r="H17" s="116" t="s">
        <v>61</v>
      </c>
      <c r="I17" s="118">
        <v>10</v>
      </c>
      <c r="J17" s="120">
        <f t="shared" si="6"/>
        <v>2.1365134112033251</v>
      </c>
      <c r="K17" s="87"/>
      <c r="L17" s="71">
        <v>0.875</v>
      </c>
      <c r="M17" s="73">
        <v>22.4</v>
      </c>
      <c r="N17" s="73">
        <f t="shared" si="3"/>
        <v>90.431999999999988</v>
      </c>
      <c r="O17" s="104">
        <f t="shared" si="4"/>
        <v>98.262676413306565</v>
      </c>
      <c r="P17" s="124">
        <f t="shared" si="5"/>
        <v>61.319493089915959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</row>
    <row r="18" spans="1:30" ht="15" customHeight="1" x14ac:dyDescent="0.25">
      <c r="A18" s="57"/>
      <c r="B18" s="205"/>
      <c r="C18" s="206"/>
      <c r="D18" s="206"/>
      <c r="E18" s="206"/>
      <c r="F18" s="207"/>
      <c r="G18" s="64"/>
      <c r="H18" s="176" t="s">
        <v>62</v>
      </c>
      <c r="I18" s="177"/>
      <c r="J18" s="121">
        <f>$J$13/$J$17</f>
        <v>6.2889022587463046</v>
      </c>
      <c r="K18" s="87"/>
      <c r="L18" s="68">
        <v>0.74999999999999989</v>
      </c>
      <c r="M18" s="69">
        <v>19</v>
      </c>
      <c r="N18" s="70">
        <f t="shared" si="3"/>
        <v>77.92</v>
      </c>
      <c r="O18" s="104">
        <f t="shared" si="4"/>
        <v>92.424684943700711</v>
      </c>
      <c r="P18" s="124">
        <f t="shared" si="5"/>
        <v>210.38588531601806</v>
      </c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</row>
    <row r="19" spans="1:30" ht="15" customHeight="1" thickBot="1" x14ac:dyDescent="0.3">
      <c r="A19" s="57"/>
      <c r="B19" s="208"/>
      <c r="C19" s="209"/>
      <c r="D19" s="209"/>
      <c r="E19" s="209"/>
      <c r="F19" s="210"/>
      <c r="G19" s="64"/>
      <c r="H19" s="178" t="s">
        <v>63</v>
      </c>
      <c r="I19" s="179"/>
      <c r="J19" s="122">
        <f>($J$15^2)/($J$17*$J$13)</f>
        <v>0.25703260250679538</v>
      </c>
      <c r="K19" s="87"/>
      <c r="L19" s="71">
        <v>0.625</v>
      </c>
      <c r="M19" s="72">
        <v>16</v>
      </c>
      <c r="N19" s="73">
        <f t="shared" si="3"/>
        <v>66.88</v>
      </c>
      <c r="O19" s="104">
        <f t="shared" si="4"/>
        <v>76.180452403461402</v>
      </c>
      <c r="P19" s="124">
        <f t="shared" si="5"/>
        <v>86.49841490905105</v>
      </c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</row>
    <row r="20" spans="1:30" ht="15" customHeight="1" thickBot="1" x14ac:dyDescent="0.3">
      <c r="A20" s="57"/>
      <c r="B20" s="63"/>
      <c r="C20" s="63"/>
      <c r="D20" s="64"/>
      <c r="E20" s="64"/>
      <c r="F20" s="64"/>
      <c r="G20" s="64"/>
      <c r="H20" s="64"/>
      <c r="I20" s="64"/>
      <c r="J20" s="64"/>
      <c r="K20" s="142"/>
      <c r="L20" s="71">
        <v>0.5</v>
      </c>
      <c r="M20" s="73">
        <v>12.5</v>
      </c>
      <c r="N20" s="73">
        <f t="shared" si="3"/>
        <v>54</v>
      </c>
      <c r="O20" s="104">
        <f t="shared" si="4"/>
        <v>54.090459830305115</v>
      </c>
      <c r="P20" s="124">
        <f t="shared" si="5"/>
        <v>8.1829808988301139E-3</v>
      </c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</row>
    <row r="21" spans="1:30" ht="15" customHeight="1" x14ac:dyDescent="0.25">
      <c r="A21" s="57"/>
      <c r="B21" s="211" t="s">
        <v>95</v>
      </c>
      <c r="C21" s="212"/>
      <c r="D21" s="212"/>
      <c r="E21" s="212"/>
      <c r="F21" s="212"/>
      <c r="G21" s="212"/>
      <c r="H21" s="212"/>
      <c r="I21" s="212"/>
      <c r="J21" s="213"/>
      <c r="K21" s="142"/>
      <c r="L21" s="71">
        <v>0.4375</v>
      </c>
      <c r="M21" s="73">
        <v>11.2</v>
      </c>
      <c r="N21" s="73">
        <f t="shared" si="3"/>
        <v>48.180952380952377</v>
      </c>
      <c r="O21" s="104">
        <f t="shared" si="4"/>
        <v>49.43606838756471</v>
      </c>
      <c r="P21" s="124">
        <f t="shared" si="5"/>
        <v>1.5753161900544901</v>
      </c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</row>
    <row r="22" spans="1:30" ht="15" customHeight="1" x14ac:dyDescent="0.25">
      <c r="A22" s="57"/>
      <c r="B22" s="106"/>
      <c r="C22" s="92"/>
      <c r="D22" s="92"/>
      <c r="E22" s="144"/>
      <c r="F22" s="144"/>
      <c r="G22" s="144"/>
      <c r="H22" s="84"/>
      <c r="I22" s="77"/>
      <c r="J22" s="110"/>
      <c r="K22" s="142"/>
      <c r="L22" s="68">
        <v>0.37499999999999994</v>
      </c>
      <c r="M22" s="70">
        <v>9.5</v>
      </c>
      <c r="N22" s="70">
        <f t="shared" si="3"/>
        <v>40.571428571428569</v>
      </c>
      <c r="O22" s="104">
        <f t="shared" si="4"/>
        <v>45.471567491624363</v>
      </c>
      <c r="P22" s="124">
        <f t="shared" si="5"/>
        <v>24.011361437217598</v>
      </c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</row>
    <row r="23" spans="1:30" ht="15" customHeight="1" x14ac:dyDescent="0.25">
      <c r="A23" s="57"/>
      <c r="B23" s="106"/>
      <c r="C23" s="92"/>
      <c r="D23" s="92"/>
      <c r="E23" s="144"/>
      <c r="F23" s="144"/>
      <c r="G23" s="144"/>
      <c r="H23" s="144"/>
      <c r="I23" s="144"/>
      <c r="J23" s="107"/>
      <c r="K23" s="142"/>
      <c r="L23" s="71">
        <v>0.3125</v>
      </c>
      <c r="M23" s="73">
        <v>8</v>
      </c>
      <c r="N23" s="73">
        <f t="shared" si="3"/>
        <v>33.857142857142861</v>
      </c>
      <c r="O23" s="104">
        <f t="shared" si="4"/>
        <v>43.16208334946591</v>
      </c>
      <c r="P23" s="124">
        <f t="shared" si="5"/>
        <v>86.581917565673095</v>
      </c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</row>
    <row r="24" spans="1:30" ht="15" customHeight="1" x14ac:dyDescent="0.25">
      <c r="A24" s="57"/>
      <c r="B24" s="108"/>
      <c r="C24" s="93"/>
      <c r="D24" s="93"/>
      <c r="E24" s="144"/>
      <c r="F24" s="144"/>
      <c r="G24" s="144"/>
      <c r="H24" s="90"/>
      <c r="I24" s="96"/>
      <c r="J24" s="107"/>
      <c r="K24" s="142"/>
      <c r="L24" s="71">
        <v>0.25</v>
      </c>
      <c r="M24" s="73">
        <v>6.35</v>
      </c>
      <c r="N24" s="73">
        <f t="shared" si="3"/>
        <v>26.471428571428572</v>
      </c>
      <c r="O24" s="104">
        <f t="shared" si="4"/>
        <v>41.351695388687212</v>
      </c>
      <c r="P24" s="124">
        <f t="shared" si="5"/>
        <v>221.42234055280858</v>
      </c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</row>
    <row r="25" spans="1:30" ht="15" customHeight="1" x14ac:dyDescent="0.25">
      <c r="A25" s="57"/>
      <c r="B25" s="108"/>
      <c r="C25" s="93"/>
      <c r="D25" s="93"/>
      <c r="E25" s="144"/>
      <c r="F25" s="144"/>
      <c r="G25" s="144"/>
      <c r="H25" s="90"/>
      <c r="I25" s="97"/>
      <c r="J25" s="107"/>
      <c r="K25" s="142"/>
      <c r="L25" s="71" t="s">
        <v>45</v>
      </c>
      <c r="M25" s="73">
        <v>5.6</v>
      </c>
      <c r="N25" s="73">
        <f t="shared" si="3"/>
        <v>23.114285714285714</v>
      </c>
      <c r="O25" s="104">
        <f t="shared" si="4"/>
        <v>40.692009993933141</v>
      </c>
      <c r="P25" s="124">
        <f t="shared" si="5"/>
        <v>308.97639085130663</v>
      </c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</row>
    <row r="26" spans="1:30" ht="15" customHeight="1" x14ac:dyDescent="0.25">
      <c r="A26" s="57"/>
      <c r="B26" s="126"/>
      <c r="C26" s="77"/>
      <c r="D26" s="144"/>
      <c r="E26" s="144"/>
      <c r="F26" s="144"/>
      <c r="G26" s="144"/>
      <c r="H26" s="144"/>
      <c r="I26" s="144"/>
      <c r="J26" s="107"/>
      <c r="K26" s="142"/>
      <c r="L26" s="68" t="s">
        <v>1</v>
      </c>
      <c r="M26" s="76">
        <v>4.75</v>
      </c>
      <c r="N26" s="70">
        <f t="shared" si="3"/>
        <v>19.30952380952381</v>
      </c>
      <c r="O26" s="104">
        <f t="shared" si="4"/>
        <v>40.030326441723965</v>
      </c>
      <c r="P26" s="124">
        <f t="shared" si="5"/>
        <v>429.35166172259284</v>
      </c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</row>
    <row r="27" spans="1:30" ht="15" customHeight="1" x14ac:dyDescent="0.25">
      <c r="A27" s="57"/>
      <c r="B27" s="126"/>
      <c r="C27" s="77"/>
      <c r="D27" s="144"/>
      <c r="E27" s="144"/>
      <c r="F27" s="144"/>
      <c r="G27" s="144"/>
      <c r="H27" s="144"/>
      <c r="I27" s="144"/>
      <c r="J27" s="107"/>
      <c r="K27" s="142"/>
      <c r="L27" s="78" t="s">
        <v>39</v>
      </c>
      <c r="M27" s="79">
        <v>4</v>
      </c>
      <c r="N27" s="79">
        <f t="shared" si="3"/>
        <v>15.952380952380953</v>
      </c>
      <c r="O27" s="111">
        <f t="shared" si="4"/>
        <v>39.49243094336645</v>
      </c>
      <c r="P27" s="124">
        <f t="shared" si="5"/>
        <v>554.13395357809634</v>
      </c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</row>
    <row r="28" spans="1:30" ht="15" customHeight="1" x14ac:dyDescent="0.25">
      <c r="A28" s="57"/>
      <c r="B28" s="126"/>
      <c r="C28" s="77"/>
      <c r="D28" s="144"/>
      <c r="E28" s="144"/>
      <c r="F28" s="144"/>
      <c r="G28" s="144"/>
      <c r="H28" s="144"/>
      <c r="I28" s="144"/>
      <c r="J28" s="107"/>
      <c r="K28" s="142"/>
      <c r="L28" s="78" t="s">
        <v>40</v>
      </c>
      <c r="M28" s="79">
        <v>3.35</v>
      </c>
      <c r="N28" s="79">
        <f t="shared" si="3"/>
        <v>13.042857142857144</v>
      </c>
      <c r="O28" s="111">
        <f t="shared" si="4"/>
        <v>38.791202296935609</v>
      </c>
      <c r="P28" s="124">
        <f t="shared" si="5"/>
        <v>662.97727817355599</v>
      </c>
    </row>
    <row r="29" spans="1:30" ht="15" customHeight="1" x14ac:dyDescent="0.25">
      <c r="A29" s="57"/>
      <c r="B29" s="126"/>
      <c r="C29" s="77"/>
      <c r="D29" s="144"/>
      <c r="E29" s="144"/>
      <c r="F29" s="144"/>
      <c r="G29" s="144"/>
      <c r="H29" s="144"/>
      <c r="I29" s="144"/>
      <c r="J29" s="107"/>
      <c r="K29" s="142"/>
      <c r="L29" s="78" t="s">
        <v>41</v>
      </c>
      <c r="M29" s="79">
        <v>2.8</v>
      </c>
      <c r="N29" s="79">
        <f t="shared" si="3"/>
        <v>10.580952380952381</v>
      </c>
      <c r="O29" s="111">
        <f t="shared" si="4"/>
        <v>33.536435606569022</v>
      </c>
      <c r="P29" s="124">
        <f t="shared" si="5"/>
        <v>526.95421012156692</v>
      </c>
    </row>
    <row r="30" spans="1:30" ht="15" customHeight="1" x14ac:dyDescent="0.25">
      <c r="A30" s="57"/>
      <c r="B30" s="201" t="s">
        <v>81</v>
      </c>
      <c r="C30" s="219" t="s">
        <v>82</v>
      </c>
      <c r="D30" s="219"/>
      <c r="E30" s="219"/>
      <c r="F30" s="219"/>
      <c r="G30" s="219"/>
      <c r="H30" s="219"/>
      <c r="I30" s="219"/>
      <c r="J30" s="220"/>
      <c r="K30" s="64"/>
      <c r="L30" s="78" t="s">
        <v>21</v>
      </c>
      <c r="M30" s="79">
        <v>2.36</v>
      </c>
      <c r="N30" s="79">
        <f t="shared" si="3"/>
        <v>8.6114285714285703</v>
      </c>
      <c r="O30" s="111">
        <f t="shared" si="4"/>
        <v>14.932760098187417</v>
      </c>
      <c r="P30" s="124">
        <f t="shared" si="5"/>
        <v>39.959232271195333</v>
      </c>
    </row>
    <row r="31" spans="1:30" ht="15" customHeight="1" x14ac:dyDescent="0.25">
      <c r="A31" s="57"/>
      <c r="B31" s="201"/>
      <c r="C31" s="219"/>
      <c r="D31" s="219"/>
      <c r="E31" s="219"/>
      <c r="F31" s="219"/>
      <c r="G31" s="219"/>
      <c r="H31" s="219"/>
      <c r="I31" s="219"/>
      <c r="J31" s="220"/>
      <c r="K31" s="64"/>
      <c r="L31" s="68" t="s">
        <v>2</v>
      </c>
      <c r="M31" s="76">
        <v>2</v>
      </c>
      <c r="N31" s="76">
        <f t="shared" si="3"/>
        <v>7</v>
      </c>
      <c r="O31" s="111">
        <f t="shared" si="4"/>
        <v>6.9868979106220435</v>
      </c>
      <c r="P31" s="124">
        <f t="shared" si="5"/>
        <v>1.7166474606796156E-4</v>
      </c>
    </row>
    <row r="32" spans="1:30" ht="15" customHeight="1" x14ac:dyDescent="0.25">
      <c r="A32" s="57"/>
      <c r="B32" s="201" t="s">
        <v>100</v>
      </c>
      <c r="C32" s="219" t="s">
        <v>112</v>
      </c>
      <c r="D32" s="219"/>
      <c r="E32" s="219"/>
      <c r="F32" s="219"/>
      <c r="G32" s="219"/>
      <c r="H32" s="219"/>
      <c r="I32" s="219"/>
      <c r="J32" s="220"/>
      <c r="K32" s="64"/>
      <c r="L32" s="78" t="s">
        <v>42</v>
      </c>
      <c r="M32" s="79">
        <v>1.7</v>
      </c>
      <c r="N32" s="79">
        <f t="shared" si="3"/>
        <v>5.9285714285714288</v>
      </c>
      <c r="O32" s="111">
        <f t="shared" si="4"/>
        <v>4.7228135606450463</v>
      </c>
      <c r="P32" s="124">
        <f t="shared" si="5"/>
        <v>1.4538520360663756</v>
      </c>
    </row>
    <row r="33" spans="1:16" ht="15" customHeight="1" x14ac:dyDescent="0.25">
      <c r="A33" s="57"/>
      <c r="B33" s="201"/>
      <c r="C33" s="219"/>
      <c r="D33" s="219"/>
      <c r="E33" s="219"/>
      <c r="F33" s="219"/>
      <c r="G33" s="219"/>
      <c r="H33" s="219"/>
      <c r="I33" s="219"/>
      <c r="J33" s="220"/>
      <c r="K33" s="64"/>
      <c r="L33" s="78" t="s">
        <v>43</v>
      </c>
      <c r="M33" s="79">
        <v>1.4</v>
      </c>
      <c r="N33" s="79">
        <f t="shared" si="3"/>
        <v>4.8571428571428577</v>
      </c>
      <c r="O33" s="111">
        <f t="shared" si="4"/>
        <v>3.569748762520633</v>
      </c>
      <c r="P33" s="124">
        <f t="shared" si="5"/>
        <v>1.6573835548681775</v>
      </c>
    </row>
    <row r="34" spans="1:16" ht="15" customHeight="1" x14ac:dyDescent="0.25">
      <c r="A34" s="57"/>
      <c r="B34" s="201" t="s">
        <v>96</v>
      </c>
      <c r="C34" s="219" t="s">
        <v>117</v>
      </c>
      <c r="D34" s="219"/>
      <c r="E34" s="219"/>
      <c r="F34" s="219"/>
      <c r="G34" s="219"/>
      <c r="H34" s="219"/>
      <c r="I34" s="219"/>
      <c r="J34" s="220"/>
      <c r="K34" s="64"/>
      <c r="L34" s="78" t="s">
        <v>22</v>
      </c>
      <c r="M34" s="79">
        <v>1.18</v>
      </c>
      <c r="N34" s="79">
        <f t="shared" si="3"/>
        <v>4.0714285714285712</v>
      </c>
      <c r="O34" s="111">
        <f t="shared" si="4"/>
        <v>3.0069299067225228</v>
      </c>
      <c r="P34" s="124">
        <f t="shared" si="5"/>
        <v>1.13315740716096</v>
      </c>
    </row>
    <row r="35" spans="1:16" ht="15" customHeight="1" x14ac:dyDescent="0.25">
      <c r="A35" s="57"/>
      <c r="B35" s="201"/>
      <c r="C35" s="219"/>
      <c r="D35" s="219"/>
      <c r="E35" s="219"/>
      <c r="F35" s="219"/>
      <c r="G35" s="219"/>
      <c r="H35" s="219"/>
      <c r="I35" s="219"/>
      <c r="J35" s="220"/>
      <c r="K35" s="64"/>
      <c r="L35" s="78" t="s">
        <v>44</v>
      </c>
      <c r="M35" s="79">
        <v>1</v>
      </c>
      <c r="N35" s="79">
        <f t="shared" si="3"/>
        <v>3.4285714285714288</v>
      </c>
      <c r="O35" s="111">
        <f t="shared" si="4"/>
        <v>2.638141422328856</v>
      </c>
      <c r="P35" s="124">
        <f t="shared" si="5"/>
        <v>0.62477959476863376</v>
      </c>
    </row>
    <row r="36" spans="1:16" ht="15" customHeight="1" x14ac:dyDescent="0.25">
      <c r="A36" s="57"/>
      <c r="B36" s="201" t="s">
        <v>97</v>
      </c>
      <c r="C36" s="219" t="s">
        <v>120</v>
      </c>
      <c r="D36" s="219"/>
      <c r="E36" s="219"/>
      <c r="F36" s="219"/>
      <c r="G36" s="219"/>
      <c r="H36" s="219"/>
      <c r="I36" s="219"/>
      <c r="J36" s="220"/>
      <c r="K36" s="64"/>
      <c r="L36" s="78" t="s">
        <v>23</v>
      </c>
      <c r="M36" s="80">
        <v>0.85</v>
      </c>
      <c r="N36" s="79">
        <f t="shared" si="3"/>
        <v>2.8928571428571428</v>
      </c>
      <c r="O36" s="111">
        <f t="shared" si="4"/>
        <v>2.3693379616177195</v>
      </c>
      <c r="P36" s="124">
        <f t="shared" si="5"/>
        <v>0.27407233312559615</v>
      </c>
    </row>
    <row r="37" spans="1:16" ht="15" customHeight="1" x14ac:dyDescent="0.25">
      <c r="A37" s="57"/>
      <c r="B37" s="201"/>
      <c r="C37" s="219"/>
      <c r="D37" s="219"/>
      <c r="E37" s="219"/>
      <c r="F37" s="219"/>
      <c r="G37" s="219"/>
      <c r="H37" s="219"/>
      <c r="I37" s="219"/>
      <c r="J37" s="220"/>
      <c r="K37" s="64"/>
      <c r="L37" s="78" t="s">
        <v>46</v>
      </c>
      <c r="M37" s="80">
        <v>0.71</v>
      </c>
      <c r="N37" s="79">
        <f t="shared" si="3"/>
        <v>2.3928571428571428</v>
      </c>
      <c r="O37" s="111">
        <f t="shared" si="4"/>
        <v>2.1379319421800309</v>
      </c>
      <c r="P37" s="124">
        <f t="shared" si="5"/>
        <v>6.4986857940265763E-2</v>
      </c>
    </row>
    <row r="38" spans="1:16" ht="15" customHeight="1" x14ac:dyDescent="0.25">
      <c r="A38" s="57"/>
      <c r="B38" s="201"/>
      <c r="C38" s="219"/>
      <c r="D38" s="219"/>
      <c r="E38" s="219"/>
      <c r="F38" s="219"/>
      <c r="G38" s="219"/>
      <c r="H38" s="219"/>
      <c r="I38" s="219"/>
      <c r="J38" s="220"/>
      <c r="K38" s="64"/>
      <c r="L38" s="78" t="s">
        <v>47</v>
      </c>
      <c r="M38" s="80">
        <v>0.6</v>
      </c>
      <c r="N38" s="79">
        <f t="shared" si="3"/>
        <v>2</v>
      </c>
      <c r="O38" s="111">
        <f t="shared" si="4"/>
        <v>1.9629662736481563</v>
      </c>
      <c r="P38" s="124">
        <f t="shared" si="5"/>
        <v>1.3714968875032391E-3</v>
      </c>
    </row>
    <row r="39" spans="1:16" ht="15" customHeight="1" x14ac:dyDescent="0.25">
      <c r="A39" s="57"/>
      <c r="B39" s="201" t="s">
        <v>98</v>
      </c>
      <c r="C39" s="219" t="s">
        <v>113</v>
      </c>
      <c r="D39" s="219"/>
      <c r="E39" s="219"/>
      <c r="F39" s="219"/>
      <c r="G39" s="219"/>
      <c r="H39" s="219"/>
      <c r="I39" s="219"/>
      <c r="J39" s="220"/>
      <c r="K39" s="64"/>
      <c r="L39" s="78" t="s">
        <v>48</v>
      </c>
      <c r="M39" s="80">
        <v>0.5</v>
      </c>
      <c r="N39" s="79">
        <f t="shared" si="3"/>
        <v>1.8095238095238093</v>
      </c>
      <c r="O39" s="111">
        <f t="shared" si="4"/>
        <v>1.8040627524666939</v>
      </c>
      <c r="P39" s="124">
        <f t="shared" si="5"/>
        <v>2.9823144181070077E-5</v>
      </c>
    </row>
    <row r="40" spans="1:16" ht="15" customHeight="1" x14ac:dyDescent="0.25">
      <c r="A40" s="57"/>
      <c r="B40" s="201"/>
      <c r="C40" s="219"/>
      <c r="D40" s="219"/>
      <c r="E40" s="219"/>
      <c r="F40" s="219"/>
      <c r="G40" s="219"/>
      <c r="H40" s="219"/>
      <c r="I40" s="219"/>
      <c r="J40" s="220"/>
      <c r="K40" s="64"/>
      <c r="L40" s="68" t="s">
        <v>3</v>
      </c>
      <c r="M40" s="81">
        <v>0.42499999999999999</v>
      </c>
      <c r="N40" s="76">
        <f t="shared" si="3"/>
        <v>1.6666666666666665</v>
      </c>
      <c r="O40" s="111">
        <f t="shared" si="4"/>
        <v>1.6809701789971276</v>
      </c>
      <c r="P40" s="124">
        <f t="shared" si="5"/>
        <v>2.0459046498765333E-4</v>
      </c>
    </row>
    <row r="41" spans="1:16" ht="15" customHeight="1" x14ac:dyDescent="0.25">
      <c r="A41" s="57"/>
      <c r="B41" s="201"/>
      <c r="C41" s="219"/>
      <c r="D41" s="219"/>
      <c r="E41" s="219"/>
      <c r="F41" s="219"/>
      <c r="G41" s="219"/>
      <c r="H41" s="219"/>
      <c r="I41" s="219"/>
      <c r="J41" s="220"/>
      <c r="K41" s="64"/>
      <c r="L41" s="78" t="s">
        <v>49</v>
      </c>
      <c r="M41" s="80">
        <v>0.35499999999999998</v>
      </c>
      <c r="N41" s="79">
        <f t="shared" si="3"/>
        <v>1.5333333333333332</v>
      </c>
      <c r="O41" s="111">
        <f t="shared" si="4"/>
        <v>1.5580731777873942</v>
      </c>
      <c r="P41" s="124">
        <f t="shared" si="5"/>
        <v>6.120599036111311E-4</v>
      </c>
    </row>
    <row r="42" spans="1:16" ht="15" customHeight="1" x14ac:dyDescent="0.25">
      <c r="A42" s="57"/>
      <c r="B42" s="201" t="s">
        <v>101</v>
      </c>
      <c r="C42" s="219" t="s">
        <v>121</v>
      </c>
      <c r="D42" s="219"/>
      <c r="E42" s="219"/>
      <c r="F42" s="219"/>
      <c r="G42" s="219"/>
      <c r="H42" s="219"/>
      <c r="I42" s="219"/>
      <c r="J42" s="220"/>
      <c r="K42" s="64"/>
      <c r="L42" s="78" t="s">
        <v>24</v>
      </c>
      <c r="M42" s="80">
        <v>0.3</v>
      </c>
      <c r="N42" s="79">
        <f t="shared" si="3"/>
        <v>1.4285714285714284</v>
      </c>
      <c r="O42" s="111">
        <f t="shared" si="4"/>
        <v>1.4503795169480787</v>
      </c>
      <c r="P42" s="124">
        <f t="shared" si="5"/>
        <v>4.7559271864378863E-4</v>
      </c>
    </row>
    <row r="43" spans="1:16" ht="15" customHeight="1" x14ac:dyDescent="0.25">
      <c r="A43" s="57"/>
      <c r="B43" s="201"/>
      <c r="C43" s="219"/>
      <c r="D43" s="219"/>
      <c r="E43" s="219"/>
      <c r="F43" s="219"/>
      <c r="G43" s="219"/>
      <c r="H43" s="219"/>
      <c r="I43" s="219"/>
      <c r="J43" s="220"/>
      <c r="K43" s="64"/>
      <c r="L43" s="78" t="s">
        <v>25</v>
      </c>
      <c r="M43" s="80">
        <v>0.25</v>
      </c>
      <c r="N43" s="79">
        <f t="shared" si="3"/>
        <v>1.3333333333333333</v>
      </c>
      <c r="O43" s="111">
        <f t="shared" si="4"/>
        <v>1.3356682348072142</v>
      </c>
      <c r="P43" s="124">
        <f t="shared" si="5"/>
        <v>5.4517648927313615E-6</v>
      </c>
    </row>
    <row r="44" spans="1:16" ht="15" customHeight="1" x14ac:dyDescent="0.25">
      <c r="A44" s="57"/>
      <c r="B44" s="201"/>
      <c r="C44" s="219"/>
      <c r="D44" s="219"/>
      <c r="E44" s="219"/>
      <c r="F44" s="219"/>
      <c r="G44" s="219"/>
      <c r="H44" s="219"/>
      <c r="I44" s="219"/>
      <c r="J44" s="220"/>
      <c r="K44" s="64"/>
      <c r="L44" s="78" t="s">
        <v>50</v>
      </c>
      <c r="M44" s="80">
        <v>0.21199999999999999</v>
      </c>
      <c r="N44" s="79">
        <f t="shared" si="3"/>
        <v>1.2609523809523808</v>
      </c>
      <c r="O44" s="111">
        <f t="shared" si="4"/>
        <v>1.2281543493578158</v>
      </c>
      <c r="P44" s="124">
        <f t="shared" si="5"/>
        <v>1.0757108764780886E-3</v>
      </c>
    </row>
    <row r="45" spans="1:16" ht="15" customHeight="1" x14ac:dyDescent="0.25">
      <c r="A45" s="57"/>
      <c r="B45" s="201" t="s">
        <v>102</v>
      </c>
      <c r="C45" s="219" t="s">
        <v>125</v>
      </c>
      <c r="D45" s="219"/>
      <c r="E45" s="219"/>
      <c r="F45" s="219"/>
      <c r="G45" s="219"/>
      <c r="H45" s="219"/>
      <c r="I45" s="219"/>
      <c r="J45" s="220"/>
      <c r="K45" s="64"/>
      <c r="L45" s="78" t="s">
        <v>26</v>
      </c>
      <c r="M45" s="80">
        <v>0.18</v>
      </c>
      <c r="N45" s="79">
        <f t="shared" si="3"/>
        <v>1.2</v>
      </c>
      <c r="O45" s="111">
        <f t="shared" si="4"/>
        <v>1.1121192041634325</v>
      </c>
      <c r="P45" s="124">
        <f t="shared" si="5"/>
        <v>7.7230342768684589E-3</v>
      </c>
    </row>
    <row r="46" spans="1:16" ht="15" customHeight="1" x14ac:dyDescent="0.25">
      <c r="A46" s="57"/>
      <c r="B46" s="201"/>
      <c r="C46" s="219"/>
      <c r="D46" s="219"/>
      <c r="E46" s="219"/>
      <c r="F46" s="219"/>
      <c r="G46" s="219"/>
      <c r="H46" s="219"/>
      <c r="I46" s="219"/>
      <c r="J46" s="220"/>
      <c r="K46" s="64"/>
      <c r="L46" s="78" t="s">
        <v>27</v>
      </c>
      <c r="M46" s="80">
        <v>0.15</v>
      </c>
      <c r="N46" s="79">
        <f t="shared" si="3"/>
        <v>1.1428571428571428</v>
      </c>
      <c r="O46" s="111">
        <f t="shared" si="4"/>
        <v>0.96389148757318655</v>
      </c>
      <c r="P46" s="124">
        <f t="shared" si="5"/>
        <v>3.202870577121586E-2</v>
      </c>
    </row>
    <row r="47" spans="1:16" ht="15" customHeight="1" x14ac:dyDescent="0.25">
      <c r="A47" s="57"/>
      <c r="B47" s="201"/>
      <c r="C47" s="219"/>
      <c r="D47" s="219"/>
      <c r="E47" s="219"/>
      <c r="F47" s="219"/>
      <c r="G47" s="219"/>
      <c r="H47" s="219"/>
      <c r="I47" s="219"/>
      <c r="J47" s="220"/>
      <c r="K47" s="64"/>
      <c r="L47" s="78" t="s">
        <v>51</v>
      </c>
      <c r="M47" s="80">
        <v>0.125</v>
      </c>
      <c r="N47" s="79">
        <f t="shared" si="3"/>
        <v>1.0952380952380953</v>
      </c>
      <c r="O47" s="111">
        <f t="shared" si="4"/>
        <v>0.7852628510624593</v>
      </c>
      <c r="P47" s="124">
        <f t="shared" si="5"/>
        <v>9.6084652001745194E-2</v>
      </c>
    </row>
    <row r="48" spans="1:16" ht="15" customHeight="1" x14ac:dyDescent="0.25">
      <c r="A48" s="57"/>
      <c r="B48" s="201" t="s">
        <v>103</v>
      </c>
      <c r="C48" s="219" t="s">
        <v>123</v>
      </c>
      <c r="D48" s="219"/>
      <c r="E48" s="219"/>
      <c r="F48" s="219"/>
      <c r="G48" s="219"/>
      <c r="H48" s="219"/>
      <c r="I48" s="219"/>
      <c r="J48" s="220"/>
      <c r="K48" s="64"/>
      <c r="L48" s="78" t="s">
        <v>52</v>
      </c>
      <c r="M48" s="80">
        <v>0.106</v>
      </c>
      <c r="N48" s="79">
        <f t="shared" si="3"/>
        <v>1.059047619047619</v>
      </c>
      <c r="O48" s="111">
        <f t="shared" si="4"/>
        <v>0.58668364072477563</v>
      </c>
      <c r="P48" s="124">
        <f t="shared" si="5"/>
        <v>0.22312772801698366</v>
      </c>
    </row>
    <row r="49" spans="1:16" ht="15" customHeight="1" x14ac:dyDescent="0.25">
      <c r="A49" s="57"/>
      <c r="B49" s="201"/>
      <c r="C49" s="219"/>
      <c r="D49" s="219"/>
      <c r="E49" s="219"/>
      <c r="F49" s="219"/>
      <c r="G49" s="219"/>
      <c r="H49" s="219"/>
      <c r="I49" s="219"/>
      <c r="J49" s="220"/>
      <c r="K49" s="64"/>
      <c r="L49" s="78" t="s">
        <v>53</v>
      </c>
      <c r="M49" s="80">
        <v>0.09</v>
      </c>
      <c r="N49" s="79">
        <f t="shared" si="3"/>
        <v>1.0285714285714285</v>
      </c>
      <c r="O49" s="111">
        <f t="shared" si="4"/>
        <v>0.34296383222789284</v>
      </c>
      <c r="P49" s="124">
        <f t="shared" si="5"/>
        <v>0.47005777616396049</v>
      </c>
    </row>
    <row r="50" spans="1:16" ht="15" customHeight="1" x14ac:dyDescent="0.25">
      <c r="A50" s="57"/>
      <c r="B50" s="201" t="s">
        <v>99</v>
      </c>
      <c r="C50" s="219" t="s">
        <v>124</v>
      </c>
      <c r="D50" s="219"/>
      <c r="E50" s="219"/>
      <c r="F50" s="219"/>
      <c r="G50" s="219"/>
      <c r="H50" s="219"/>
      <c r="I50" s="219"/>
      <c r="J50" s="220"/>
      <c r="K50" s="64"/>
      <c r="L50" s="68" t="s">
        <v>4</v>
      </c>
      <c r="M50" s="81">
        <v>7.4999999999999997E-2</v>
      </c>
      <c r="N50" s="76">
        <f t="shared" si="3"/>
        <v>1</v>
      </c>
      <c r="O50" s="111">
        <f t="shared" si="4"/>
        <v>0</v>
      </c>
      <c r="P50" s="124">
        <f t="shared" si="5"/>
        <v>1</v>
      </c>
    </row>
    <row r="51" spans="1:16" ht="15" customHeight="1" x14ac:dyDescent="0.25">
      <c r="A51" s="57"/>
      <c r="B51" s="201"/>
      <c r="C51" s="219"/>
      <c r="D51" s="219"/>
      <c r="E51" s="219"/>
      <c r="F51" s="219"/>
      <c r="G51" s="219"/>
      <c r="H51" s="219"/>
      <c r="I51" s="219"/>
      <c r="J51" s="220"/>
      <c r="K51" s="64"/>
      <c r="L51" s="78" t="s">
        <v>54</v>
      </c>
      <c r="M51" s="80">
        <v>6.3E-2</v>
      </c>
      <c r="N51" s="80">
        <f t="shared" si="3"/>
        <v>0.84000000000000008</v>
      </c>
      <c r="O51" s="112">
        <f t="shared" si="4"/>
        <v>-0.4182727654584254</v>
      </c>
      <c r="P51" s="124">
        <f t="shared" si="5"/>
        <v>1.5832503522943935</v>
      </c>
    </row>
    <row r="52" spans="1:16" ht="15" customHeight="1" x14ac:dyDescent="0.25">
      <c r="A52" s="57"/>
      <c r="B52" s="201" t="s">
        <v>80</v>
      </c>
      <c r="C52" s="219" t="s">
        <v>114</v>
      </c>
      <c r="D52" s="219"/>
      <c r="E52" s="219"/>
      <c r="F52" s="219"/>
      <c r="G52" s="219"/>
      <c r="H52" s="219"/>
      <c r="I52" s="219"/>
      <c r="J52" s="220"/>
      <c r="K52" s="64"/>
      <c r="L52" s="78" t="s">
        <v>28</v>
      </c>
      <c r="M52" s="80">
        <v>5.2999999999999999E-2</v>
      </c>
      <c r="N52" s="80">
        <f t="shared" si="3"/>
        <v>0.70666666666666667</v>
      </c>
      <c r="O52" s="112">
        <f t="shared" si="4"/>
        <v>-0.94315288865366143</v>
      </c>
      <c r="P52" s="124">
        <f t="shared" si="5"/>
        <v>2.7219045651173652</v>
      </c>
    </row>
    <row r="53" spans="1:16" ht="15" customHeight="1" thickBot="1" x14ac:dyDescent="0.3">
      <c r="A53" s="57"/>
      <c r="B53" s="237"/>
      <c r="C53" s="221"/>
      <c r="D53" s="221"/>
      <c r="E53" s="221"/>
      <c r="F53" s="221"/>
      <c r="G53" s="221"/>
      <c r="H53" s="221"/>
      <c r="I53" s="221"/>
      <c r="J53" s="222"/>
      <c r="K53" s="64"/>
      <c r="L53" s="78" t="s">
        <v>55</v>
      </c>
      <c r="M53" s="80">
        <v>4.4999999999999998E-2</v>
      </c>
      <c r="N53" s="80">
        <f t="shared" si="3"/>
        <v>0.6</v>
      </c>
      <c r="O53" s="112">
        <f t="shared" si="4"/>
        <v>-1.5651553914990983</v>
      </c>
      <c r="P53" s="124">
        <f t="shared" si="5"/>
        <v>4.6878978693376139</v>
      </c>
    </row>
    <row r="54" spans="1:16" ht="15" customHeight="1" x14ac:dyDescent="0.25">
      <c r="A54" s="57"/>
      <c r="B54" s="228" t="s">
        <v>122</v>
      </c>
      <c r="C54" s="229"/>
      <c r="D54" s="229"/>
      <c r="E54" s="229"/>
      <c r="F54" s="229"/>
      <c r="G54" s="229"/>
      <c r="H54" s="229"/>
      <c r="I54" s="229"/>
      <c r="J54" s="230"/>
      <c r="K54" s="64"/>
      <c r="L54" s="78" t="s">
        <v>56</v>
      </c>
      <c r="M54" s="80">
        <v>3.7999999999999999E-2</v>
      </c>
      <c r="N54" s="80">
        <f t="shared" si="3"/>
        <v>0.50666666666666671</v>
      </c>
      <c r="O54" s="112">
        <f t="shared" si="4"/>
        <v>-2.3638175913439263</v>
      </c>
      <c r="P54" s="124">
        <f t="shared" si="5"/>
        <v>8.2396798754866261</v>
      </c>
    </row>
    <row r="55" spans="1:16" ht="15" customHeight="1" x14ac:dyDescent="0.25">
      <c r="A55" s="57"/>
      <c r="B55" s="231"/>
      <c r="C55" s="232"/>
      <c r="D55" s="232"/>
      <c r="E55" s="232"/>
      <c r="F55" s="232"/>
      <c r="G55" s="232"/>
      <c r="H55" s="232"/>
      <c r="I55" s="232"/>
      <c r="J55" s="233"/>
      <c r="K55" s="64"/>
      <c r="L55" s="78" t="s">
        <v>57</v>
      </c>
      <c r="M55" s="80">
        <v>3.2000000000000001E-2</v>
      </c>
      <c r="N55" s="80">
        <f t="shared" si="3"/>
        <v>0.42666666666666669</v>
      </c>
      <c r="O55" s="112">
        <f t="shared" si="4"/>
        <v>-3.3717226686353734</v>
      </c>
      <c r="P55" s="124">
        <f t="shared" si="5"/>
        <v>14.427761542536274</v>
      </c>
    </row>
    <row r="56" spans="1:16" ht="15" customHeight="1" x14ac:dyDescent="0.25">
      <c r="A56" s="57"/>
      <c r="B56" s="231"/>
      <c r="C56" s="232"/>
      <c r="D56" s="232"/>
      <c r="E56" s="232"/>
      <c r="F56" s="232"/>
      <c r="G56" s="232"/>
      <c r="H56" s="232"/>
      <c r="I56" s="232"/>
      <c r="J56" s="233"/>
      <c r="K56" s="64"/>
      <c r="L56" s="78" t="s">
        <v>58</v>
      </c>
      <c r="M56" s="80">
        <v>2.5000000000000001E-2</v>
      </c>
      <c r="N56" s="80">
        <f t="shared" si="3"/>
        <v>0.33333333333333337</v>
      </c>
      <c r="O56" s="112">
        <f t="shared" si="4"/>
        <v>-5.2461504043045064</v>
      </c>
      <c r="P56" s="124">
        <f t="shared" si="5"/>
        <v>31.130638778565114</v>
      </c>
    </row>
    <row r="57" spans="1:16" ht="15" customHeight="1" thickBot="1" x14ac:dyDescent="0.3">
      <c r="A57" s="57"/>
      <c r="B57" s="234"/>
      <c r="C57" s="235"/>
      <c r="D57" s="235"/>
      <c r="E57" s="235"/>
      <c r="F57" s="235"/>
      <c r="G57" s="235"/>
      <c r="H57" s="235"/>
      <c r="I57" s="235"/>
      <c r="J57" s="236"/>
      <c r="K57" s="64"/>
      <c r="L57" s="78" t="s">
        <v>59</v>
      </c>
      <c r="M57" s="80">
        <v>0.02</v>
      </c>
      <c r="N57" s="80">
        <f t="shared" si="3"/>
        <v>0.26666666666666666</v>
      </c>
      <c r="O57" s="112">
        <f t="shared" si="4"/>
        <v>-7.4775156091784547</v>
      </c>
      <c r="P57" s="124">
        <f>IF(ISNUMBER((N57-O57)^2),(N57-O57)^2,0)</f>
        <v>59.972359121513719</v>
      </c>
    </row>
  </sheetData>
  <sheetProtection selectLockedCells="1"/>
  <scenarios current="0">
    <scenario name="DE" count="7" user="Mehmet Durmaz" comment="Oluşturan: Mehmet Durmaz - 6/23/2015">
      <inputCells r="J3" val="0.730579567914437" numFmtId="165"/>
      <inputCells r="J4" val="62.8494941825184" numFmtId="165"/>
      <inputCells r="J5" val="3.38734837177235" numFmtId="165"/>
      <inputCells r="J6" val="1.29377871816682" numFmtId="165"/>
      <inputCells r="J7" val="0" numFmtId="165"/>
      <inputCells r="J8" val="0.0895604513716103" numFmtId="165"/>
      <inputCells r="J9" val="0.91576696584638" numFmtId="165"/>
    </scenario>
  </scenarios>
  <mergeCells count="43">
    <mergeCell ref="B39:B41"/>
    <mergeCell ref="C39:J41"/>
    <mergeCell ref="B30:B31"/>
    <mergeCell ref="B32:B33"/>
    <mergeCell ref="C30:J31"/>
    <mergeCell ref="C32:J33"/>
    <mergeCell ref="B34:B35"/>
    <mergeCell ref="B36:B38"/>
    <mergeCell ref="C36:J38"/>
    <mergeCell ref="B42:B44"/>
    <mergeCell ref="C42:J44"/>
    <mergeCell ref="B45:B47"/>
    <mergeCell ref="C45:J47"/>
    <mergeCell ref="B54:J57"/>
    <mergeCell ref="B48:B49"/>
    <mergeCell ref="C48:J49"/>
    <mergeCell ref="B50:B51"/>
    <mergeCell ref="C50:J51"/>
    <mergeCell ref="B52:B53"/>
    <mergeCell ref="C52:J53"/>
    <mergeCell ref="H5:I5"/>
    <mergeCell ref="H9:I9"/>
    <mergeCell ref="H10:I10"/>
    <mergeCell ref="H11:I11"/>
    <mergeCell ref="C34:J35"/>
    <mergeCell ref="H6:I6"/>
    <mergeCell ref="H7:I7"/>
    <mergeCell ref="H8:I8"/>
    <mergeCell ref="B17:F19"/>
    <mergeCell ref="H18:I18"/>
    <mergeCell ref="H19:I19"/>
    <mergeCell ref="B21:J21"/>
    <mergeCell ref="L2:O2"/>
    <mergeCell ref="B3:C3"/>
    <mergeCell ref="D3:D4"/>
    <mergeCell ref="E3:E4"/>
    <mergeCell ref="H3:I3"/>
    <mergeCell ref="L3:M3"/>
    <mergeCell ref="N3:N4"/>
    <mergeCell ref="O3:O4"/>
    <mergeCell ref="B2:E2"/>
    <mergeCell ref="H4:I4"/>
    <mergeCell ref="H2:J2"/>
  </mergeCells>
  <conditionalFormatting sqref="P5:P57">
    <cfRule type="cellIs" dxfId="0" priority="1" operator="lessThan">
      <formula>1</formula>
    </cfRule>
  </conditionalFormatting>
  <printOptions horizontalCentered="1" verticalCentered="1"/>
  <pageMargins left="0" right="0" top="0" bottom="0" header="0" footer="0"/>
  <pageSetup paperSize="9" scale="90" fitToWidth="2" orientation="portrait" r:id="rId1"/>
  <colBreaks count="1" manualBreakCount="1">
    <brk id="17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8</vt:i4>
      </vt:variant>
    </vt:vector>
  </HeadingPairs>
  <TitlesOfParts>
    <vt:vector size="13" baseType="lpstr">
      <vt:lpstr>MGrafik</vt:lpstr>
      <vt:lpstr>KALIPLAR</vt:lpstr>
      <vt:lpstr>ANALITIK</vt:lpstr>
      <vt:lpstr>UNIMODAL</vt:lpstr>
      <vt:lpstr>BIMODAL</vt:lpstr>
      <vt:lpstr>BIMODAL!Ds</vt:lpstr>
      <vt:lpstr>UNIMODAL!Ds</vt:lpstr>
      <vt:lpstr>Ds</vt:lpstr>
      <vt:lpstr>BIMODAL!Dv</vt:lpstr>
      <vt:lpstr>UNIMODAL!Dv</vt:lpstr>
      <vt:lpstr>Dv</vt:lpstr>
      <vt:lpstr>BIMODAL!Yazdırma_Alanı</vt:lpstr>
      <vt:lpstr>KALIPLAR!Yazdırma_Alanı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Durmaz</dc:creator>
  <cp:lastModifiedBy>Neslinur Sinem Kavak</cp:lastModifiedBy>
  <cp:lastPrinted>2019-06-20T11:45:33Z</cp:lastPrinted>
  <dcterms:created xsi:type="dcterms:W3CDTF">2015-04-13T08:02:25Z</dcterms:created>
  <dcterms:modified xsi:type="dcterms:W3CDTF">2020-02-10T06:54:27Z</dcterms:modified>
</cp:coreProperties>
</file>